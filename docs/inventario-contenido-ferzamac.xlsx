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Inventario" sheetId="2" state="visible" r:id="rId4"/>
    <sheet name="Páginas del sitio" sheetId="3" state="visible" r:id="rId5"/>
    <sheet name="Textos por corregir" sheetId="4" state="visible" r:id="rId6"/>
    <sheet name="Pendientes" sheetId="5" state="visible" r:id="rId7"/>
  </sheets>
  <definedNames>
    <definedName function="false" hidden="true" localSheetId="1" name="_xlnm._FilterDatabase" vbProcedure="false">Inventario!$A$1:$L$93</definedName>
    <definedName function="false" hidden="true" localSheetId="2" name="_xlnm._FilterDatabase" vbProcedure="false">'Páginas del sitio'!$A$1:$I$30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<sst xmlns="http://schemas.openxmlformats.org/spreadsheetml/2006/main" count="1443" uniqueCount="787">
  <si>
    <t xml:space="preserve">Inventario de contenido: Ferzamac (rediseño web)</t>
  </si>
  <si>
    <t xml:space="preserve">Los totales se calculan solos a partir de la hoja Inventario: si cambias una decisión o una calidad, se actualizan.</t>
  </si>
  <si>
    <t xml:space="preserve">Decisión</t>
  </si>
  <si>
    <t xml:space="preserve">Total</t>
  </si>
  <si>
    <t xml:space="preserve">Del catálogo PDF</t>
  </si>
  <si>
    <t xml:space="preserve">Usar</t>
  </si>
  <si>
    <t xml:space="preserve">Listas para publicar tal cual.</t>
  </si>
  <si>
    <t xml:space="preserve">Usar tras mejorar</t>
  </si>
  <si>
    <t xml:space="preserve">Pasan por tu mejora con IA antes de entrar al sitio.</t>
  </si>
  <si>
    <t xml:space="preserve">Solo texto</t>
  </si>
  <si>
    <t xml:space="preserve">Se aprovecha el texto, no las imágenes.</t>
  </si>
  <si>
    <t xml:space="preserve">Descartar</t>
  </si>
  <si>
    <t xml:space="preserve">Stock, fotos borrosas, material de terceros o texto genérico.</t>
  </si>
  <si>
    <t xml:space="preserve">Pendiente de datos</t>
  </si>
  <si>
    <t xml:space="preserve">Se publican solo con nombre y foto.</t>
  </si>
  <si>
    <t xml:space="preserve">Total de filas</t>
  </si>
  <si>
    <t xml:space="preserve">Calidad de imagen</t>
  </si>
  <si>
    <t xml:space="preserve">Alta</t>
  </si>
  <si>
    <t xml:space="preserve">Media</t>
  </si>
  <si>
    <t xml:space="preserve">Baja</t>
  </si>
  <si>
    <t xml:space="preserve">n/a</t>
  </si>
  <si>
    <t xml:space="preserve">Páginas del sitio con contenido completo</t>
  </si>
  <si>
    <t xml:space="preserve">Páginas del sitio con contenido parcial</t>
  </si>
  <si>
    <t xml:space="preserve">ID</t>
  </si>
  <si>
    <t xml:space="preserve">Origen</t>
  </si>
  <si>
    <t xml:space="preserve">Pág. / Archivo</t>
  </si>
  <si>
    <t xml:space="preserve">Contenido</t>
  </si>
  <si>
    <t xml:space="preserve">Tipo</t>
  </si>
  <si>
    <t xml:space="preserve">Mejor foto nativa (px)</t>
  </si>
  <si>
    <t xml:space="preserve">Calidad</t>
  </si>
  <si>
    <t xml:space="preserve">Destino provisional en el sitio</t>
  </si>
  <si>
    <t xml:space="preserve">Nombre de archivo sugerido</t>
  </si>
  <si>
    <t xml:space="preserve">Acción de mejora (tuya)</t>
  </si>
  <si>
    <t xml:space="preserve">Notas</t>
  </si>
  <si>
    <t xml:space="preserve">P01</t>
  </si>
  <si>
    <t xml:space="preserve">Catálogo PDF</t>
  </si>
  <si>
    <t xml:space="preserve">Pág. 1</t>
  </si>
  <si>
    <t xml:space="preserve">Portada: Presentación de proyectos, Soluciones integrales</t>
  </si>
  <si>
    <t xml:space="preserve">Stock + texto</t>
  </si>
  <si>
    <t xml:space="preserve">533×800 (71 ppi)</t>
  </si>
  <si>
    <t xml:space="preserve">—</t>
  </si>
  <si>
    <t xml:space="preserve">Mano con engranajes (stock, ~22 ppi). Solo se aprovecha el lema "Soluciones integrales".</t>
  </si>
  <si>
    <t xml:space="preserve">P02</t>
  </si>
  <si>
    <t xml:space="preserve">Pág. 2</t>
  </si>
  <si>
    <t xml:space="preserve">Quiénes somos: diseño, construcción, montaje, mantenimiento y consultoría</t>
  </si>
  <si>
    <t xml:space="preserve">Texto + stock</t>
  </si>
  <si>
    <t xml:space="preserve">600×420 (35 ppi)</t>
  </si>
  <si>
    <t xml:space="preserve">/ y /nosotros</t>
  </si>
  <si>
    <t xml:space="preserve">Reescribir el texto. Engranajes de stock: descartar.</t>
  </si>
  <si>
    <t xml:space="preserve">P03</t>
  </si>
  <si>
    <t xml:space="preserve">Pág. 3</t>
  </si>
  <si>
    <t xml:space="preserve">Equipo de trabajo: ingenierías y personal técnico</t>
  </si>
  <si>
    <t xml:space="preserve">Texto</t>
  </si>
  <si>
    <t xml:space="preserve">/nosotros</t>
  </si>
  <si>
    <t xml:space="preserve">Convertir en bloque de disciplinas con íconos, sin foto.</t>
  </si>
  <si>
    <t xml:space="preserve">P04</t>
  </si>
  <si>
    <t xml:space="preserve">Pág. 4</t>
  </si>
  <si>
    <t xml:space="preserve">Experiencia empresarial (página vacía)</t>
  </si>
  <si>
    <t xml:space="preserve">Stock</t>
  </si>
  <si>
    <t xml:space="preserve">621×1080 (96 ppi)</t>
  </si>
  <si>
    <t xml:space="preserve">Faltan años de trayectoria, cantidad de proyectos y regiones atendidas.</t>
  </si>
  <si>
    <t xml:space="preserve">P05</t>
  </si>
  <si>
    <t xml:space="preserve">Pág. 5</t>
  </si>
  <si>
    <t xml:space="preserve">Separador Diseño-Construcción-Montaje</t>
  </si>
  <si>
    <t xml:space="preserve">800×433 (73 ppi)</t>
  </si>
  <si>
    <t xml:space="preserve">Solo sirve como nombre de categoría.</t>
  </si>
  <si>
    <t xml:space="preserve">P06</t>
  </si>
  <si>
    <t xml:space="preserve">Pág. 6</t>
  </si>
  <si>
    <t xml:space="preserve">Planta separadora de residuos sólidos, 300 t/día</t>
  </si>
  <si>
    <t xml:space="preserve">Render 3D</t>
  </si>
  <si>
    <t xml:space="preserve">626×389 (64 ppi)</t>
  </si>
  <si>
    <t xml:space="preserve">/industrial/planta-separadora-residuos-solidos</t>
  </si>
  <si>
    <t xml:space="preserve">planta-separadora-residuos-solidos-render.jpg</t>
  </si>
  <si>
    <t xml:space="preserve">Escalar ×2</t>
  </si>
  <si>
    <t xml:space="preserve">Render de diseño; sin más datos que la capacidad.</t>
  </si>
  <si>
    <t xml:space="preserve">P07</t>
  </si>
  <si>
    <t xml:space="preserve">Pág. 7</t>
  </si>
  <si>
    <t xml:space="preserve">Sistema de enfriamiento para matadero de pollos</t>
  </si>
  <si>
    <t xml:space="preserve">Render / montaje</t>
  </si>
  <si>
    <t xml:space="preserve">800×416 (63 ppi)</t>
  </si>
  <si>
    <t xml:space="preserve">/industrial/sistema-enfriamiento-matadero-pollos</t>
  </si>
  <si>
    <t xml:space="preserve">sistema-enfriamiento-matadero-pollos-render.jpg</t>
  </si>
  <si>
    <t xml:space="preserve">Solo título e imagen: ficha parcial.</t>
  </si>
  <si>
    <t xml:space="preserve">P08</t>
  </si>
  <si>
    <t xml:space="preserve">Pág. 8</t>
  </si>
  <si>
    <t xml:space="preserve">Tres renders 3D de sistemas de tuberías e intercambiador</t>
  </si>
  <si>
    <t xml:space="preserve">800×416 (66 ppi)</t>
  </si>
  <si>
    <t xml:space="preserve">/ (sección Ingeniería y diseño 3D)</t>
  </si>
  <si>
    <t xml:space="preserve">ingenieria-diseno-3d-01.jpg … 03.jpg</t>
  </si>
  <si>
    <t xml:space="preserve">Lo más profesional visualmente; sin texto asociado.</t>
  </si>
  <si>
    <t xml:space="preserve">P09</t>
  </si>
  <si>
    <t xml:space="preserve">Pág. 9</t>
  </si>
  <si>
    <t xml:space="preserve">Tambores para elevador de cangilones (eje SAE1045, acero A36, pernos grado 8, antiabrasivo)</t>
  </si>
  <si>
    <t xml:space="preserve">Foto + render + texto</t>
  </si>
  <si>
    <t xml:space="preserve">800×534 (97 ppi)</t>
  </si>
  <si>
    <t xml:space="preserve">/industrial/elevador-de-cangilones</t>
  </si>
  <si>
    <t xml:space="preserve">elevador-de-cangilones-tambores.jpg</t>
  </si>
  <si>
    <t xml:space="preserve">Fusionar con p. 17 en una sola ficha.</t>
  </si>
  <si>
    <t xml:space="preserve">P10</t>
  </si>
  <si>
    <t xml:space="preserve">Pág. 10</t>
  </si>
  <si>
    <t xml:space="preserve">Molino de martillos (AISI 304, 200–300 kg/h)</t>
  </si>
  <si>
    <t xml:space="preserve">Foto + diagrama + texto</t>
  </si>
  <si>
    <t xml:space="preserve">723×418 (85 ppi)</t>
  </si>
  <si>
    <t xml:space="preserve">/industrial/molino-de-martillos</t>
  </si>
  <si>
    <t xml:space="preserve">molino-de-martillos-acero-inoxidable.jpg</t>
  </si>
  <si>
    <t xml:space="preserve">Texto completo. Corregir "DIMENSINES".</t>
  </si>
  <si>
    <t xml:space="preserve">P11</t>
  </si>
  <si>
    <t xml:space="preserve">Pág. 11</t>
  </si>
  <si>
    <t xml:space="preserve">Proyecto ejecutado: Santa Cruz, Planta Cuatro Cañadas (tira de 4 fotos)</t>
  </si>
  <si>
    <t xml:space="preserve">Foto (tira)</t>
  </si>
  <si>
    <t xml:space="preserve">2404×1042 (123 ppi)</t>
  </si>
  <si>
    <t xml:space="preserve">/proyectos/planta-cuatro-canadas</t>
  </si>
  <si>
    <t xml:space="preserve">planta-cuatro-canadas-01.jpg</t>
  </si>
  <si>
    <t xml:space="preserve">Recortar cada foto y escalar ×2</t>
  </si>
  <si>
    <t xml:space="preserve">Una sola imagen contiene varias fotos.</t>
  </si>
  <si>
    <t xml:space="preserve">P12</t>
  </si>
  <si>
    <t xml:space="preserve">Pág. 12</t>
  </si>
  <si>
    <t xml:space="preserve">Cuatro Cañadas (2 fotos de montaje)</t>
  </si>
  <si>
    <t xml:space="preserve">1729×714 (96 ppi)</t>
  </si>
  <si>
    <t xml:space="preserve">planta-cuatro-canadas-02.jpg</t>
  </si>
  <si>
    <t xml:space="preserve">Recortar y escalar ×2</t>
  </si>
  <si>
    <t xml:space="preserve">Personas trabajando: confirmar uso de imagen.</t>
  </si>
  <si>
    <t xml:space="preserve">P13</t>
  </si>
  <si>
    <t xml:space="preserve">Pág. 13</t>
  </si>
  <si>
    <t xml:space="preserve">Equipo humidificador de granos (4 t/h, inox 308)</t>
  </si>
  <si>
    <t xml:space="preserve">Foto + texto</t>
  </si>
  <si>
    <t xml:space="preserve">600×800 (94 ppi)</t>
  </si>
  <si>
    <t xml:space="preserve">/industrial/humidificador-de-granos</t>
  </si>
  <si>
    <t xml:space="preserve">humidificador-de-granos-acero-inoxidable.jpg</t>
  </si>
  <si>
    <t xml:space="preserve">Corregir "YCONTRUCCIÓN".</t>
  </si>
  <si>
    <t xml:space="preserve">P14</t>
  </si>
  <si>
    <t xml:space="preserve">Pág. 14</t>
  </si>
  <si>
    <t xml:space="preserve">Tornillo helicoidal (45°, inox 308, 2,80 m)</t>
  </si>
  <si>
    <t xml:space="preserve">800×600 (88 ppi)</t>
  </si>
  <si>
    <t xml:space="preserve">/industrial/tornillo-helicoidal</t>
  </si>
  <si>
    <t xml:space="preserve">tornillo-helicoidal-acero-inoxidable.jpg</t>
  </si>
  <si>
    <t xml:space="preserve">Corregir "CONTRUCCIÓN" y "45GRADOS DEINCLINACIÓN".</t>
  </si>
  <si>
    <t xml:space="preserve">P15</t>
  </si>
  <si>
    <t xml:space="preserve">Pág. 15</t>
  </si>
  <si>
    <t xml:space="preserve">Ensacadora de saco valvulado (10 s por bolsa de 20 kg, tolva 1000 kg)</t>
  </si>
  <si>
    <t xml:space="preserve">333×453 (50 ppi)</t>
  </si>
  <si>
    <t xml:space="preserve">/industrial/ensacadora-saco-valvulado</t>
  </si>
  <si>
    <t xml:space="preserve">ensacadora-saco-valvulado.jpg</t>
  </si>
  <si>
    <t xml:space="preserve">Escalar ×3</t>
  </si>
  <si>
    <t xml:space="preserve">Foto de 333×453. La p. 16 muestra una ensacadora verde parecida: confirmar si es el mismo equipo.</t>
  </si>
  <si>
    <t xml:space="preserve">P16</t>
  </si>
  <si>
    <t xml:space="preserve">Pág. 16</t>
  </si>
  <si>
    <t xml:space="preserve">Cuatro Cañadas (3 fotos de una ensacadora verde)</t>
  </si>
  <si>
    <t xml:space="preserve">Foto</t>
  </si>
  <si>
    <t xml:space="preserve">324×452 (67 ppi)</t>
  </si>
  <si>
    <t xml:space="preserve">planta-cuatro-canadas-03.jpg</t>
  </si>
  <si>
    <t xml:space="preserve">Fotos de ~324×452.</t>
  </si>
  <si>
    <t xml:space="preserve">P17</t>
  </si>
  <si>
    <t xml:space="preserve">Pág. 17</t>
  </si>
  <si>
    <t xml:space="preserve">Bandejas para elevador de cangilones</t>
  </si>
  <si>
    <t xml:space="preserve">800×450 (78 ppi)</t>
  </si>
  <si>
    <t xml:space="preserve">elevador-de-cangilones-bandejas.jpg</t>
  </si>
  <si>
    <t xml:space="preserve">Fusionar con p. 9.</t>
  </si>
  <si>
    <t xml:space="preserve">P18</t>
  </si>
  <si>
    <t xml:space="preserve">Pág. 18</t>
  </si>
  <si>
    <t xml:space="preserve">Planta de tratamiento de agua purificada industrial y hospitalaria (etapas)</t>
  </si>
  <si>
    <t xml:space="preserve">800×528 (113 ppi)</t>
  </si>
  <si>
    <t xml:space="preserve">/hospitalaria/planta-tratamiento-agua-purificada</t>
  </si>
  <si>
    <t xml:space="preserve">planta-tratamiento-agua-purificada-hospital.jpg</t>
  </si>
  <si>
    <t xml:space="preserve">Opcional ×2</t>
  </si>
  <si>
    <t xml:space="preserve">Texto técnico completo: ósmosis inversa, UV, etc.</t>
  </si>
  <si>
    <t xml:space="preserve">P19</t>
  </si>
  <si>
    <t xml:space="preserve">Pág. 19</t>
  </si>
  <si>
    <t xml:space="preserve">Hospital Jaime Mendoza, Sucre (3 fotos verticales)</t>
  </si>
  <si>
    <t xml:space="preserve">450×800 (95 ppi)</t>
  </si>
  <si>
    <t xml:space="preserve">/proyectos/hospital-jaime-mendoza-agua-purificada</t>
  </si>
  <si>
    <t xml:space="preserve">hospital-jaime-mendoza-instalacion-01.jpg</t>
  </si>
  <si>
    <t xml:space="preserve">Confirmar permiso para nombrar al cliente.</t>
  </si>
  <si>
    <t xml:space="preserve">P20</t>
  </si>
  <si>
    <t xml:space="preserve">Pág. 20</t>
  </si>
  <si>
    <t xml:space="preserve">Sistema de control y monitoreo remoto (llamador de supervisor, llamada de emergencia)</t>
  </si>
  <si>
    <t xml:space="preserve">Imágenes de fabricante + texto</t>
  </si>
  <si>
    <t xml:space="preserve">800×450 (25 ppi)</t>
  </si>
  <si>
    <t xml:space="preserve">/hospitalaria/sistema-control-monitoreo-remoto</t>
  </si>
  <si>
    <t xml:space="preserve">Imágenes de fabricante a 22–25 ppi: usar solo el texto. Corregir "ELÉCTRÓNICOS".</t>
  </si>
  <si>
    <t xml:space="preserve">P21</t>
  </si>
  <si>
    <t xml:space="preserve">Pág. 21</t>
  </si>
  <si>
    <t xml:space="preserve">Anillos de distribución de agua purificada (PEX ¾", codos de bronce)</t>
  </si>
  <si>
    <t xml:space="preserve">629×354 (60 ppi)</t>
  </si>
  <si>
    <t xml:space="preserve">hospital-jaime-mendoza-anillos-distribucion.jpg</t>
  </si>
  <si>
    <t xml:space="preserve">Datos técnicos completos.</t>
  </si>
  <si>
    <t xml:space="preserve">P22</t>
  </si>
  <si>
    <t xml:space="preserve">Pág. 22</t>
  </si>
  <si>
    <t xml:space="preserve">Hospital Chuquisaca (tercer nivel), Sucre (2 fotos)</t>
  </si>
  <si>
    <t xml:space="preserve">366×414 (57 ppi)</t>
  </si>
  <si>
    <t xml:space="preserve">/proyectos/aire-comprimido-y-sistemas-en-salud</t>
  </si>
  <si>
    <t xml:space="preserve">hospital-chuquisaca-instalacion.jpg</t>
  </si>
  <si>
    <t xml:space="preserve">Fotos de ~370×410.</t>
  </si>
  <si>
    <t xml:space="preserve">P23</t>
  </si>
  <si>
    <t xml:space="preserve">Pág. 23</t>
  </si>
  <si>
    <t xml:space="preserve">Generador de aire comprimido industrial (compresor de pistón, filtros, secador)</t>
  </si>
  <si>
    <t xml:space="preserve">Diagrama + texto</t>
  </si>
  <si>
    <t xml:space="preserve">800×443 (87 ppi)</t>
  </si>
  <si>
    <t xml:space="preserve">/hospitalaria/aire-comprimido</t>
  </si>
  <si>
    <t xml:space="preserve">generador-aire-comprimido-diagrama.png</t>
  </si>
  <si>
    <t xml:space="preserve">Opcional</t>
  </si>
  <si>
    <t xml:space="preserve">Diagrama legible; aplicable a hospital e industria.</t>
  </si>
  <si>
    <t xml:space="preserve">P24</t>
  </si>
  <si>
    <t xml:space="preserve">Pág. 24</t>
  </si>
  <si>
    <t xml:space="preserve">Hospital Jaime Mendoza: filtros y compresor (3 fotos)</t>
  </si>
  <si>
    <t xml:space="preserve">800×600 (83 ppi)</t>
  </si>
  <si>
    <t xml:space="preserve">hospital-jaime-mendoza-filtros-compresor.jpg</t>
  </si>
  <si>
    <t xml:space="preserve">Marca Schulz visible en equipos.</t>
  </si>
  <si>
    <t xml:space="preserve">P25</t>
  </si>
  <si>
    <t xml:space="preserve">Pág. 25</t>
  </si>
  <si>
    <t xml:space="preserve">CNS Chuquisaca, Centinela COVID-19 (tira de fotos)</t>
  </si>
  <si>
    <t xml:space="preserve">2303×1322 (124 ppi)</t>
  </si>
  <si>
    <t xml:space="preserve">cns-chuquisaca-centinela-covid19-aire-comprimido.jpg</t>
  </si>
  <si>
    <t xml:space="preserve">Recortar fotos</t>
  </si>
  <si>
    <t xml:space="preserve">La mejor foto de hospital del catálogo (2303×1322).</t>
  </si>
  <si>
    <t xml:space="preserve">P26</t>
  </si>
  <si>
    <t xml:space="preserve">Pág. 26</t>
  </si>
  <si>
    <t xml:space="preserve">Grupo electrógeno (diagrama de dimensiones)</t>
  </si>
  <si>
    <t xml:space="preserve">Diagrama</t>
  </si>
  <si>
    <t xml:space="preserve">800×464 (82 ppi)</t>
  </si>
  <si>
    <t xml:space="preserve">/industrial/grupo-electrogeno</t>
  </si>
  <si>
    <t xml:space="preserve">grupo-electrogeno-diagrama.png</t>
  </si>
  <si>
    <t xml:space="preserve">Sin datos técnicos escritos.</t>
  </si>
  <si>
    <t xml:space="preserve">P27</t>
  </si>
  <si>
    <t xml:space="preserve">Pág. 27</t>
  </si>
  <si>
    <t xml:space="preserve">Centro de Salud Centinela, Sucre (3 fotos de tableros y equipos)</t>
  </si>
  <si>
    <t xml:space="preserve">602×419 (70 ppi)</t>
  </si>
  <si>
    <t xml:space="preserve">/proyectos/grupo-electrogeno-eba-y-centro-de-salud</t>
  </si>
  <si>
    <t xml:space="preserve">centro-salud-centinela-tablero.jpg</t>
  </si>
  <si>
    <t xml:space="preserve">P28</t>
  </si>
  <si>
    <t xml:space="preserve">Pág. 28</t>
  </si>
  <si>
    <t xml:space="preserve">EBA, Beni (tira de fotos de tablero y motor)</t>
  </si>
  <si>
    <t xml:space="preserve">1862×773 (96 ppi)</t>
  </si>
  <si>
    <t xml:space="preserve">eba-beni-grupo-electrogeno.jpg</t>
  </si>
  <si>
    <t xml:space="preserve">Buen detalle de motor y tablero.</t>
  </si>
  <si>
    <t xml:space="preserve">P29</t>
  </si>
  <si>
    <t xml:space="preserve">Pág. 29</t>
  </si>
  <si>
    <t xml:space="preserve">Separador Consultoría</t>
  </si>
  <si>
    <t xml:space="preserve">P30</t>
  </si>
  <si>
    <t xml:space="preserve">Pág. 30</t>
  </si>
  <si>
    <t xml:space="preserve">Estudio y diseño: planta de acopio y transformación de chirimoya y durazno, Presto</t>
  </si>
  <si>
    <t xml:space="preserve">795×485 (78 ppi)</t>
  </si>
  <si>
    <t xml:space="preserve">/consultoria/estudios-y-diseno-de-plantas</t>
  </si>
  <si>
    <t xml:space="preserve">estudio-planta-durazno-chirimoya-presto.png</t>
  </si>
  <si>
    <t xml:space="preserve">Redibujar en vector</t>
  </si>
  <si>
    <t xml:space="preserve">Corregir "ESCENCIA".</t>
  </si>
  <si>
    <t xml:space="preserve">P31</t>
  </si>
  <si>
    <t xml:space="preserve">Pág. 31</t>
  </si>
  <si>
    <t xml:space="preserve">Estudio y diseño: planta procesadora de hortalizas, Las Carreras</t>
  </si>
  <si>
    <t xml:space="preserve">800×444 (70 ppi)</t>
  </si>
  <si>
    <t xml:space="preserve">estudio-planta-hortalizas-las-carreras.png</t>
  </si>
  <si>
    <t xml:space="preserve">P32</t>
  </si>
  <si>
    <t xml:space="preserve">Pág. 32</t>
  </si>
  <si>
    <t xml:space="preserve">Estudio y diseño: planta de alimento balanceado, Sucre</t>
  </si>
  <si>
    <t xml:space="preserve">estudio-planta-alimento-balanceado-sucre.png</t>
  </si>
  <si>
    <t xml:space="preserve">P33</t>
  </si>
  <si>
    <t xml:space="preserve">Pág. 33</t>
  </si>
  <si>
    <t xml:space="preserve">Estudio y diseño: planta de alimento balanceado, Tarija</t>
  </si>
  <si>
    <t xml:space="preserve">800×492 (86 ppi)</t>
  </si>
  <si>
    <t xml:space="preserve">estudio-planta-alimento-balanceado-tarija.png</t>
  </si>
  <si>
    <t xml:space="preserve">P34</t>
  </si>
  <si>
    <t xml:space="preserve">Pág. 34</t>
  </si>
  <si>
    <t xml:space="preserve">Estudio y diseño: planta empaquetadora de manzana, Culpina</t>
  </si>
  <si>
    <t xml:space="preserve">700×508 (93 ppi)</t>
  </si>
  <si>
    <t xml:space="preserve">estudio-planta-empaquetadora-manzana-culpina.png</t>
  </si>
  <si>
    <t xml:space="preserve">Corregir "Planta de planta".</t>
  </si>
  <si>
    <t xml:space="preserve">P35</t>
  </si>
  <si>
    <t xml:space="preserve">Pág. 35</t>
  </si>
  <si>
    <t xml:space="preserve">Separador Mantenimiento industrial</t>
  </si>
  <si>
    <t xml:space="preserve">800×433 (72 ppi)</t>
  </si>
  <si>
    <t xml:space="preserve">P36</t>
  </si>
  <si>
    <t xml:space="preserve">Pág. 36</t>
  </si>
  <si>
    <t xml:space="preserve">Embobinado y mantenimiento de motores de bombas de agua</t>
  </si>
  <si>
    <t xml:space="preserve">681×383 (57 ppi)</t>
  </si>
  <si>
    <t xml:space="preserve">/industrial/mantenimiento-motores-y-bombas</t>
  </si>
  <si>
    <t xml:space="preserve">mantenimiento-motores-bombas-agua.jpg</t>
  </si>
  <si>
    <t xml:space="preserve">Tipos: sumergibles, periféricas, centrífugas, multietapa.</t>
  </si>
  <si>
    <t xml:space="preserve">P37</t>
  </si>
  <si>
    <t xml:space="preserve">Pág. 37</t>
  </si>
  <si>
    <t xml:space="preserve">ENVIBOL, Zudañez (tira de 4 fotos de bobinados)</t>
  </si>
  <si>
    <t xml:space="preserve">1723×651 (96 ppi)</t>
  </si>
  <si>
    <t xml:space="preserve">envibol-zudanez-embobinado.jpg</t>
  </si>
  <si>
    <t xml:space="preserve">Buenos detalles macro. Confirmar permiso del cliente.</t>
  </si>
  <si>
    <t xml:space="preserve">P38</t>
  </si>
  <si>
    <t xml:space="preserve">Pág. 38</t>
  </si>
  <si>
    <t xml:space="preserve">Mantenimiento de campanas, ductos, cocinas y hornos industriales (lista de tareas)</t>
  </si>
  <si>
    <t xml:space="preserve">676×507 (80 ppi)</t>
  </si>
  <si>
    <t xml:space="preserve">/industrial/mantenimiento-campanas-ductos-cocinas-hornos</t>
  </si>
  <si>
    <t xml:space="preserve">mantenimiento-campanas-ductos-cocinas-hornos.jpg</t>
  </si>
  <si>
    <t xml:space="preserve">Corregir "DEL CALDEROS".</t>
  </si>
  <si>
    <t xml:space="preserve">P39</t>
  </si>
  <si>
    <t xml:space="preserve">Pág. 39</t>
  </si>
  <si>
    <t xml:space="preserve">Caja Bancaria Estatal de Salud, La Paz (tira de 3 fotos)</t>
  </si>
  <si>
    <t xml:space="preserve">1920×696 (96 ppi)</t>
  </si>
  <si>
    <t xml:space="preserve">/proyectos/mantenimiento-cocinas-y-hornos-industriales</t>
  </si>
  <si>
    <t xml:space="preserve">caja-bancaria-estatal-salud-la-paz-mantenimiento.jpg</t>
  </si>
  <si>
    <t xml:space="preserve">Técnico con equipo de protección.</t>
  </si>
  <si>
    <t xml:space="preserve">P40</t>
  </si>
  <si>
    <t xml:space="preserve">Pág. 40</t>
  </si>
  <si>
    <t xml:space="preserve">Mantenimiento de hornos (3 fotos)</t>
  </si>
  <si>
    <t xml:space="preserve">428×570 (71 ppi)</t>
  </si>
  <si>
    <t xml:space="preserve">mantenimiento-hornos-industriales.jpg</t>
  </si>
  <si>
    <t xml:space="preserve">Marca de terceros visible en los hornos.</t>
  </si>
  <si>
    <t xml:space="preserve">P41</t>
  </si>
  <si>
    <t xml:space="preserve">Pág. 41</t>
  </si>
  <si>
    <t xml:space="preserve">Mantenimiento de planta purificadora de agua para hemodiálisis (La Guardia)</t>
  </si>
  <si>
    <t xml:space="preserve">Foto (tira) + texto</t>
  </si>
  <si>
    <t xml:space="preserve">1567×539 (96 ppi)</t>
  </si>
  <si>
    <t xml:space="preserve">/hospitalaria/mantenimiento-planta-agua-hemodialisis</t>
  </si>
  <si>
    <t xml:space="preserve">mantenimiento-planta-agua-hemodialisis-la-guardia.jpg</t>
  </si>
  <si>
    <t xml:space="preserve">Texto pegado sin espacios; confirmar permiso para nombrar al municipio.</t>
  </si>
  <si>
    <t xml:space="preserve">P42</t>
  </si>
  <si>
    <t xml:space="preserve">Pág. 42</t>
  </si>
  <si>
    <t xml:space="preserve">Mantenimiento de ollas marmitas (15 L)</t>
  </si>
  <si>
    <t xml:space="preserve">600×800 (66 ppi)</t>
  </si>
  <si>
    <t xml:space="preserve">/industrial/mantenimiento-ollas-marmitas-y-carro-termico</t>
  </si>
  <si>
    <t xml:space="preserve">mantenimiento-ollas-marmitas.jpg</t>
  </si>
  <si>
    <t xml:space="preserve">Corregir "REACONIDICONAMIENTO".</t>
  </si>
  <si>
    <t xml:space="preserve">P43</t>
  </si>
  <si>
    <t xml:space="preserve">Pág. 43</t>
  </si>
  <si>
    <t xml:space="preserve">CNS Chuquisaca, Servicio de nutrición (3 fotos)</t>
  </si>
  <si>
    <t xml:space="preserve">800×450 (33 ppi)</t>
  </si>
  <si>
    <t xml:space="preserve">Reconsiderar si se mejora</t>
  </si>
  <si>
    <t xml:space="preserve">Fotos de 33–39 ppi: demasiado borrosas.</t>
  </si>
  <si>
    <t xml:space="preserve">P44</t>
  </si>
  <si>
    <t xml:space="preserve">Pág. 44</t>
  </si>
  <si>
    <t xml:space="preserve">Mantenimiento de carro termo eléctrico (18 bandejas 30×40)</t>
  </si>
  <si>
    <t xml:space="preserve">1641×600 (100 ppi)</t>
  </si>
  <si>
    <t xml:space="preserve">mantenimiento-carro-termo-electrico.jpg</t>
  </si>
  <si>
    <t xml:space="preserve">P45</t>
  </si>
  <si>
    <t xml:space="preserve">Pág. 45</t>
  </si>
  <si>
    <t xml:space="preserve">Horno convector: tabla de datos técnicos</t>
  </si>
  <si>
    <t xml:space="preserve">Tabla de tercero</t>
  </si>
  <si>
    <t xml:space="preserve">312×303 (57 ppi)</t>
  </si>
  <si>
    <t xml:space="preserve">Tabla de la ficha de otro fabricante: no es contenido propio.</t>
  </si>
  <si>
    <t xml:space="preserve">P46</t>
  </si>
  <si>
    <t xml:space="preserve">Pág. 46</t>
  </si>
  <si>
    <t xml:space="preserve">Mantenimiento y reparación de balanzas camioneras y pesas patrón (80 t, certificación IBMETRO)</t>
  </si>
  <si>
    <t xml:space="preserve">632×564 (66 ppi)</t>
  </si>
  <si>
    <t xml:space="preserve">/industrial/mantenimiento-balanzas-camioneras-ibmetro</t>
  </si>
  <si>
    <t xml:space="preserve">mantenimiento-balanzas-camioneras-ibmetro.jpg</t>
  </si>
  <si>
    <t xml:space="preserve">Certificación IBMETRO: señal de confianza clave.</t>
  </si>
  <si>
    <t xml:space="preserve">P47</t>
  </si>
  <si>
    <t xml:space="preserve">Pág. 47</t>
  </si>
  <si>
    <t xml:space="preserve">YLB, Uyuni (tira de 3 fotos con grúa y pesas)</t>
  </si>
  <si>
    <t xml:space="preserve">1844×828 (96 ppi)</t>
  </si>
  <si>
    <t xml:space="preserve">/proyectos/mantenimiento-transformadores-ylb-y-lacteos</t>
  </si>
  <si>
    <t xml:space="preserve">ylb-uyuni-mantenimiento.jpg</t>
  </si>
  <si>
    <t xml:space="preserve">Cliente de peso; confirmar permiso. Corregir "YACIMIENTOSDELITIO".</t>
  </si>
  <si>
    <t xml:space="preserve">P48</t>
  </si>
  <si>
    <t xml:space="preserve">Pág. 48</t>
  </si>
  <si>
    <t xml:space="preserve">Mantenimiento de transformadores eléctricos (procedimiento)</t>
  </si>
  <si>
    <t xml:space="preserve">/industrial/mantenimiento-transformadores-electricos</t>
  </si>
  <si>
    <t xml:space="preserve">Procedimiento técnico completo.</t>
  </si>
  <si>
    <t xml:space="preserve">P49</t>
  </si>
  <si>
    <t xml:space="preserve">Pág. 49</t>
  </si>
  <si>
    <t xml:space="preserve">Planta de lácteos Challapata, Oruro (transformador)</t>
  </si>
  <si>
    <t xml:space="preserve">800×360 (53 ppi)</t>
  </si>
  <si>
    <t xml:space="preserve">lacteos-challapata-transformador.jpg</t>
  </si>
  <si>
    <t xml:space="preserve">P50</t>
  </si>
  <si>
    <t xml:space="preserve">Pág. 50</t>
  </si>
  <si>
    <t xml:space="preserve">Planta de lácteos San Lorenzo, Tarija (2 fotos)</t>
  </si>
  <si>
    <t xml:space="preserve">800×475 (75 ppi)</t>
  </si>
  <si>
    <t xml:space="preserve">lacteos-san-lorenzo-transformador.jpg</t>
  </si>
  <si>
    <t xml:space="preserve">P51</t>
  </si>
  <si>
    <t xml:space="preserve">Pág. 51</t>
  </si>
  <si>
    <t xml:space="preserve">Planta de lácteos San Andrés, Beni (transformador)</t>
  </si>
  <si>
    <t xml:space="preserve">256×350 (36 ppi)</t>
  </si>
  <si>
    <t xml:space="preserve">lacteos-san-andres-transformador.jpg</t>
  </si>
  <si>
    <t xml:space="preserve">P52</t>
  </si>
  <si>
    <t xml:space="preserve">Pág. 52</t>
  </si>
  <si>
    <t xml:space="preserve">Sopachuy: línea de embutidos (3 fotos verticales)</t>
  </si>
  <si>
    <t xml:space="preserve">1440×649 (117 ppi)</t>
  </si>
  <si>
    <t xml:space="preserve">/proyectos/sopachuy-linea-embutidos-y-matadero</t>
  </si>
  <si>
    <t xml:space="preserve">sopachuy-linea-embutidos-01.jpg</t>
  </si>
  <si>
    <t xml:space="preserve">Mejor set fotográfico del catálogo.</t>
  </si>
  <si>
    <t xml:space="preserve">P53</t>
  </si>
  <si>
    <t xml:space="preserve">Pág. 53</t>
  </si>
  <si>
    <t xml:space="preserve">Sopachuy: sistema de GLP y carro de colgado de embutidos</t>
  </si>
  <si>
    <t xml:space="preserve">900×1600 (99 ppi)</t>
  </si>
  <si>
    <t xml:space="preserve">sopachuy-gas-glp-carro-colgado-embutidos.jpg</t>
  </si>
  <si>
    <t xml:space="preserve">P54</t>
  </si>
  <si>
    <t xml:space="preserve">Pág. 54</t>
  </si>
  <si>
    <t xml:space="preserve">Sopachuy: picadora de carne y sierra cinta industrial</t>
  </si>
  <si>
    <t xml:space="preserve">sopachuy-picadora-sierra-cinta.jpg</t>
  </si>
  <si>
    <t xml:space="preserve">P55</t>
  </si>
  <si>
    <t xml:space="preserve">Pág. 55</t>
  </si>
  <si>
    <t xml:space="preserve">Sopachuy: balanza industrial, embutidora manual, envasadora al vacío</t>
  </si>
  <si>
    <t xml:space="preserve">1440×810 (157 ppi)</t>
  </si>
  <si>
    <t xml:space="preserve">sopachuy-balanza-embutidora-envasadora-vacio.jpg</t>
  </si>
  <si>
    <t xml:space="preserve">Corregir "Maquina".</t>
  </si>
  <si>
    <t xml:space="preserve">P56</t>
  </si>
  <si>
    <t xml:space="preserve">Pág. 56</t>
  </si>
  <si>
    <t xml:space="preserve">Sopachuy: cutter, mezcladora de carne y carro/tolva</t>
  </si>
  <si>
    <t xml:space="preserve">900×1600 (145 ppi)</t>
  </si>
  <si>
    <t xml:space="preserve">sopachuy-cutter-mezcladora-carro-tolva.jpg</t>
  </si>
  <si>
    <t xml:space="preserve">P57</t>
  </si>
  <si>
    <t xml:space="preserve">Pág. 57</t>
  </si>
  <si>
    <t xml:space="preserve">Sopachuy: cámara de frío (puerta, tablero, cortina)</t>
  </si>
  <si>
    <t xml:space="preserve">720×1280 (115 ppi)</t>
  </si>
  <si>
    <t xml:space="preserve">sopachuy-camara-de-frio-01.jpg</t>
  </si>
  <si>
    <t xml:space="preserve">Complementa el video de la cámara de frío.</t>
  </si>
  <si>
    <t xml:space="preserve">P58</t>
  </si>
  <si>
    <t xml:space="preserve">Pág. 58</t>
  </si>
  <si>
    <t xml:space="preserve">Sopachuy: cámara de frío (descripción de función)</t>
  </si>
  <si>
    <t xml:space="preserve">474×850 (77 ppi)</t>
  </si>
  <si>
    <t xml:space="preserve">sopachuy-camara-de-frio-02.jpg</t>
  </si>
  <si>
    <t xml:space="preserve">Texto sobre cadena de frío listo para reescribir.</t>
  </si>
  <si>
    <t xml:space="preserve">P59</t>
  </si>
  <si>
    <t xml:space="preserve">Pág. 59</t>
  </si>
  <si>
    <t xml:space="preserve">Cajón de noqueo vacuno, Sopachuy</t>
  </si>
  <si>
    <t xml:space="preserve">810×1440 (152 ppi)</t>
  </si>
  <si>
    <t xml:space="preserve">sopachuy-cajon-noqueo-vacuno.jpg</t>
  </si>
  <si>
    <t xml:space="preserve">Descripción y datos técnicos vacíos y no disponibles: publicar con nombre y foto.</t>
  </si>
  <si>
    <t xml:space="preserve">P60</t>
  </si>
  <si>
    <t xml:space="preserve">Pág. 60</t>
  </si>
  <si>
    <t xml:space="preserve">Balanza tipo gancho y cierre divisorio, Sopachuy</t>
  </si>
  <si>
    <t xml:space="preserve">720×1280 (131 ppi)</t>
  </si>
  <si>
    <t xml:space="preserve">sopachuy-balanza-gancho-cierre-divisorio.jpg</t>
  </si>
  <si>
    <t xml:space="preserve">Descripciones vacías; confirmar "Cierra divisoria".</t>
  </si>
  <si>
    <t xml:space="preserve">P61</t>
  </si>
  <si>
    <t xml:space="preserve">Pág. 61</t>
  </si>
  <si>
    <t xml:space="preserve">Cajón de noqueo de cerdos, tuna de escaldado, mesa de degollado</t>
  </si>
  <si>
    <t xml:space="preserve">630×1120 (135 ppi)</t>
  </si>
  <si>
    <t xml:space="preserve">sopachuy-cajon-noqueo-cerdos-escaldado-degollado.jpg</t>
  </si>
  <si>
    <t xml:space="preserve">Descripciones vacías; confirmar si es "tina" de escaldado.</t>
  </si>
  <si>
    <t xml:space="preserve">P62</t>
  </si>
  <si>
    <t xml:space="preserve">Pág. 62</t>
  </si>
  <si>
    <t xml:space="preserve">Peladora de cerdos, Sopachuy</t>
  </si>
  <si>
    <t xml:space="preserve">sopachuy-peladora-de-cerdos.jpg</t>
  </si>
  <si>
    <t xml:space="preserve">Datos técnicos vacíos y no disponibles.</t>
  </si>
  <si>
    <t xml:space="preserve">P63</t>
  </si>
  <si>
    <t xml:space="preserve">Pág. 63</t>
  </si>
  <si>
    <t xml:space="preserve">Línea de envasado y clasificación de naranjas, Huacareta (captura de video)</t>
  </si>
  <si>
    <t xml:space="preserve">Captura de video</t>
  </si>
  <si>
    <t xml:space="preserve">478×850 (89 ppi)</t>
  </si>
  <si>
    <t xml:space="preserve">Texto incrustado en la imagen. Se reemplaza por los clips de video.</t>
  </si>
  <si>
    <t xml:space="preserve">P64</t>
  </si>
  <si>
    <t xml:space="preserve">Pág. 64</t>
  </si>
  <si>
    <t xml:space="preserve">Generación de vapor, Huacareta (instalación de caldero y riel de garrafones)</t>
  </si>
  <si>
    <t xml:space="preserve">1600×719 (92 ppi)</t>
  </si>
  <si>
    <t xml:space="preserve">/proyectos/huacareta-clasificacion-naranjas-y-vapor</t>
  </si>
  <si>
    <t xml:space="preserve">huacareta-generacion-vapor-caldero.jpg</t>
  </si>
  <si>
    <t xml:space="preserve">Escalar ×2 para hero</t>
  </si>
  <si>
    <t xml:space="preserve">Candidata a imagen principal del hero con capa #06323C.</t>
  </si>
  <si>
    <t xml:space="preserve">P65</t>
  </si>
  <si>
    <t xml:space="preserve">Pág. 65</t>
  </si>
  <si>
    <t xml:space="preserve">Texto genérico sobre gestión de proyectos</t>
  </si>
  <si>
    <t xml:space="preserve">No habla de Ferzamac: descartar.</t>
  </si>
  <si>
    <t xml:space="preserve">P66</t>
  </si>
  <si>
    <t xml:space="preserve">Pág. 66</t>
  </si>
  <si>
    <t xml:space="preserve">Marcas con las que trabajan (Atlas Copco, Schulz, Energy Power, EFCO, Kränzle, Metabo, ELMEC, Sultec, Kaeser, Honda)</t>
  </si>
  <si>
    <t xml:space="preserve">Logos de terceros</t>
  </si>
  <si>
    <t xml:space="preserve">640×251 (118 ppi)</t>
  </si>
  <si>
    <t xml:space="preserve">/nosotros (sección Marcas)</t>
  </si>
  <si>
    <t xml:space="preserve">marcas-*.svg</t>
  </si>
  <si>
    <t xml:space="preserve">Conseguir cada logo en SVG</t>
  </si>
  <si>
    <t xml:space="preserve">Son marcas con las que trabajan, no clientes. No sugerir distribución autorizada si no lo es; confirmar permiso.</t>
  </si>
  <si>
    <t xml:space="preserve">P67</t>
  </si>
  <si>
    <t xml:space="preserve">Pág. 67</t>
  </si>
  <si>
    <t xml:space="preserve">Cierre con logo</t>
  </si>
  <si>
    <t xml:space="preserve">Logo (JPG)</t>
  </si>
  <si>
    <t xml:space="preserve">Sustituido por el logo vectorial nuevo.</t>
  </si>
  <si>
    <t xml:space="preserve">V01</t>
  </si>
  <si>
    <t xml:space="preserve">Video original</t>
  </si>
  <si>
    <t xml:space="preserve">envasado_y_clasificacion_naranjas.mp4</t>
  </si>
  <si>
    <t xml:space="preserve">Línea de clasificación de naranjas, Huacareta (58,6 s)</t>
  </si>
  <si>
    <t xml:space="preserve">Video</t>
  </si>
  <si>
    <t xml:space="preserve">1920×1080 con margen blanco; imagen real ~922×516</t>
  </si>
  <si>
    <t xml:space="preserve">(se usan los 4 clips recortados)</t>
  </si>
  <si>
    <t xml:space="preserve">Subtítulo "Línea de clasificación Huacareta 2026" incrustado; sin audio. Original no se publica.</t>
  </si>
  <si>
    <t xml:space="preserve">V02</t>
  </si>
  <si>
    <t xml:space="preserve">cajon_vacuno.mp4</t>
  </si>
  <si>
    <t xml:space="preserve">Cajón de noqueo vacuno, Sopachuy (9,5 s)</t>
  </si>
  <si>
    <t xml:space="preserve">1920×1080; imagen real ~538×1080 vertical</t>
  </si>
  <si>
    <t xml:space="preserve">(solo 2 fotogramas)</t>
  </si>
  <si>
    <t xml:space="preserve">Cámara en mano muy movida y con audio. Solo sirven 2 fotogramas.</t>
  </si>
  <si>
    <t xml:space="preserve">V03</t>
  </si>
  <si>
    <t xml:space="preserve">camara_de_frio.mp4</t>
  </si>
  <si>
    <t xml:space="preserve">Cámara de frío, Sopachuy (28,6 s)</t>
  </si>
  <si>
    <t xml:space="preserve">1920×1080; imagen real ~593×1080 vertical</t>
  </si>
  <si>
    <t xml:space="preserve">(se usa 1 clip recortado)</t>
  </si>
  <si>
    <t xml:space="preserve">Solo 0–5,5 s son útiles (puerta y tablero); el resto es oscuro o borroso.</t>
  </si>
  <si>
    <t xml:space="preserve">V04</t>
  </si>
  <si>
    <t xml:space="preserve">Clip entregado</t>
  </si>
  <si>
    <t xml:space="preserve">video/clips/huacareta-clasificacion-naranjas-01-alimentacion.mp4</t>
  </si>
  <si>
    <t xml:space="preserve">Elevador de alimentación con cajas de naranjas (6 s)</t>
  </si>
  <si>
    <t xml:space="preserve">Video recortado</t>
  </si>
  <si>
    <t xml:space="preserve">920×366</t>
  </si>
  <si>
    <t xml:space="preserve">huacareta-clasificacion-naranjas-01-alimentacion.mp4</t>
  </si>
  <si>
    <t xml:space="preserve">Escalar ×2, sin regenerar</t>
  </si>
  <si>
    <t xml:space="preserve">Recorte sin margen ni subtítulo, sin audio.</t>
  </si>
  <si>
    <t xml:space="preserve">V05</t>
  </si>
  <si>
    <t xml:space="preserve">video/clips/huacareta-clasificacion-naranjas-02-cinta.mp4</t>
  </si>
  <si>
    <t xml:space="preserve">Cinta transportadora con naranjas (6 s)</t>
  </si>
  <si>
    <t xml:space="preserve">huacareta-clasificacion-naranjas-02-cinta.mp4</t>
  </si>
  <si>
    <t xml:space="preserve">Escena estable y luminosa.</t>
  </si>
  <si>
    <t xml:space="preserve">V06</t>
  </si>
  <si>
    <t xml:space="preserve">video/clips/huacareta-clasificacion-naranjas-03-lavado-y-panel.mp4</t>
  </si>
  <si>
    <t xml:space="preserve">Baño de lavado y panel de control con luces verdes (8 s)</t>
  </si>
  <si>
    <t xml:space="preserve">huacareta-clasificacion-naranjas-03-lavado-y-panel.mp4</t>
  </si>
  <si>
    <t xml:space="preserve">Incluye una persona al fondo; confirmar uso.</t>
  </si>
  <si>
    <t xml:space="preserve">V07</t>
  </si>
  <si>
    <t xml:space="preserve">video/clips/huacareta-clasificacion-naranjas-04-canales-clasificacion.mp4</t>
  </si>
  <si>
    <t xml:space="preserve">Canales de clasificación con cajas (7,5 s)</t>
  </si>
  <si>
    <t xml:space="preserve">huacareta-clasificacion-naranjas-04-canales-clasificacion.mp4</t>
  </si>
  <si>
    <t xml:space="preserve">La toma más nítida; candidata a banda de sección.</t>
  </si>
  <si>
    <t xml:space="preserve">V08</t>
  </si>
  <si>
    <t xml:space="preserve">video/clips/camara-de-frio-sopachuy-puerta-y-tablero.mp4</t>
  </si>
  <si>
    <t xml:space="preserve">Puerta y tablero de control de la cámara de frío (5,5 s)</t>
  </si>
  <si>
    <t xml:space="preserve">588×1076 vertical</t>
  </si>
  <si>
    <t xml:space="preserve">camara-de-frio-sopachuy-puerta-y-tablero.mp4</t>
  </si>
  <si>
    <t xml:space="preserve">Mostrar en marco vertical junto al texto.</t>
  </si>
  <si>
    <t xml:space="preserve">V09</t>
  </si>
  <si>
    <t xml:space="preserve">Fotograma entregado</t>
  </si>
  <si>
    <t xml:space="preserve">video/fotogramas/huacareta-clasificacion-naranjas-elevador-alimentacion.png</t>
  </si>
  <si>
    <t xml:space="preserve">Elevador de alimentación</t>
  </si>
  <si>
    <t xml:space="preserve">Foto (de video)</t>
  </si>
  <si>
    <t xml:space="preserve">huacareta-clasificacion-naranjas-elevador-alimentacion.png</t>
  </si>
  <si>
    <t xml:space="preserve">Escalar ×2–×3, sin regenerar</t>
  </si>
  <si>
    <t xml:space="preserve">V10</t>
  </si>
  <si>
    <t xml:space="preserve">video/fotogramas/huacareta-clasificacion-naranjas-lavado.png</t>
  </si>
  <si>
    <t xml:space="preserve">Baño de lavado con naranjas</t>
  </si>
  <si>
    <t xml:space="preserve">huacareta-clasificacion-naranjas-lavado.png</t>
  </si>
  <si>
    <t xml:space="preserve">V11</t>
  </si>
  <si>
    <t xml:space="preserve">video/fotogramas/huacareta-clasificacion-naranjas-panel-de-control.png</t>
  </si>
  <si>
    <t xml:space="preserve">Panel de control con luces verdes</t>
  </si>
  <si>
    <t xml:space="preserve">huacareta-clasificacion-naranjas-panel-de-control.png</t>
  </si>
  <si>
    <t xml:space="preserve">V12</t>
  </si>
  <si>
    <t xml:space="preserve">video/fotogramas/huacareta-clasificacion-naranjas-mesas-de-seleccion.png</t>
  </si>
  <si>
    <t xml:space="preserve">Mesas de selección</t>
  </si>
  <si>
    <t xml:space="preserve">huacareta-clasificacion-naranjas-mesas-de-seleccion.png</t>
  </si>
  <si>
    <t xml:space="preserve">V13</t>
  </si>
  <si>
    <t xml:space="preserve">video/fotogramas/huacareta-clasificacion-naranjas-canales-de-clasificacion.png</t>
  </si>
  <si>
    <t xml:space="preserve">Canales de clasificación con cajas</t>
  </si>
  <si>
    <t xml:space="preserve">huacareta-clasificacion-naranjas-canales-de-clasificacion.png</t>
  </si>
  <si>
    <t xml:space="preserve">V14</t>
  </si>
  <si>
    <t xml:space="preserve">video/fotogramas/camara-de-frio-sopachuy-puerta.png</t>
  </si>
  <si>
    <t xml:space="preserve">Puerta de la cámara de frío</t>
  </si>
  <si>
    <t xml:space="preserve">588×1076</t>
  </si>
  <si>
    <t xml:space="preserve">camara-de-frio-sopachuy-puerta.png</t>
  </si>
  <si>
    <t xml:space="preserve">Imagen vertical: usar en columna o recortar.</t>
  </si>
  <si>
    <t xml:space="preserve">V15</t>
  </si>
  <si>
    <t xml:space="preserve">video/fotogramas/camara-de-frio-sopachuy-tablero-de-control.png</t>
  </si>
  <si>
    <t xml:space="preserve">Tablero de control de la cámara de frío</t>
  </si>
  <si>
    <t xml:space="preserve">camara-de-frio-sopachuy-tablero-de-control.png</t>
  </si>
  <si>
    <t xml:space="preserve">V16</t>
  </si>
  <si>
    <t xml:space="preserve">video/fotogramas/camara-de-frio-sopachuy-cortina-pvc.png</t>
  </si>
  <si>
    <t xml:space="preserve">Cortina de PVC de la cámara</t>
  </si>
  <si>
    <t xml:space="preserve">camara-de-frio-sopachuy-cortina-pvc.png</t>
  </si>
  <si>
    <t xml:space="preserve">V17</t>
  </si>
  <si>
    <t xml:space="preserve">video/fotogramas/camara-de-frio-sopachuy-evaporador.png</t>
  </si>
  <si>
    <t xml:space="preserve">Evaporador en el interior</t>
  </si>
  <si>
    <t xml:space="preserve">camara-de-frio-sopachuy-evaporador.png</t>
  </si>
  <si>
    <t xml:space="preserve">Evaporador: muy borroso, solo si la mejora lo permite.</t>
  </si>
  <si>
    <t xml:space="preserve">V18</t>
  </si>
  <si>
    <t xml:space="preserve">video/fotogramas/cajon-noqueo-vacuno-sopachuy-estructura.png</t>
  </si>
  <si>
    <t xml:space="preserve">Estructura metálica del cajón de noqueo</t>
  </si>
  <si>
    <t xml:space="preserve">534×1076</t>
  </si>
  <si>
    <t xml:space="preserve">cajon-noqueo-vacuno-sopachuy-estructura.png</t>
  </si>
  <si>
    <t xml:space="preserve">V19</t>
  </si>
  <si>
    <t xml:space="preserve">video/fotogramas/cajon-noqueo-vacuno-sopachuy-nave.png</t>
  </si>
  <si>
    <t xml:space="preserve">Nave interior de la planta</t>
  </si>
  <si>
    <t xml:space="preserve">cajon-noqueo-vacuno-sopachuy-nave.png</t>
  </si>
  <si>
    <t xml:space="preserve">L01</t>
  </si>
  <si>
    <t xml:space="preserve">Logo</t>
  </si>
  <si>
    <t xml:space="preserve">logo/logo-ferzamac.svg</t>
  </si>
  <si>
    <t xml:space="preserve">Logo en color, vectorial (colores #0A4D5C, #00B020, #1DA1D2)</t>
  </si>
  <si>
    <t xml:space="preserve">SVG</t>
  </si>
  <si>
    <t xml:space="preserve">Header, footer claro, favicon, metadatos</t>
  </si>
  <si>
    <t xml:space="preserve">logo-ferzamac.svg</t>
  </si>
  <si>
    <t xml:space="preserve">Revisar a mano en un editor vectorial si se necesita para imprenta</t>
  </si>
  <si>
    <t xml:space="preserve">Reconstruido a partir del PNG; verde claro de la F conservado del original (#77B854).</t>
  </si>
  <si>
    <t xml:space="preserve">L02</t>
  </si>
  <si>
    <t xml:space="preserve">logo/logo-ferzamac-blanco.svg</t>
  </si>
  <si>
    <t xml:space="preserve">Logo con letras blancas para fondos oscuros</t>
  </si>
  <si>
    <t xml:space="preserve">Hero y footer sobre #06323C</t>
  </si>
  <si>
    <t xml:space="preserve">logo-ferzamac-blanco.svg</t>
  </si>
  <si>
    <t xml:space="preserve">L03</t>
  </si>
  <si>
    <t xml:space="preserve">logo/logo-ferzamac.png</t>
  </si>
  <si>
    <t xml:space="preserve">Logo en color, PNG transparente (2400 px)</t>
  </si>
  <si>
    <t xml:space="preserve">PNG</t>
  </si>
  <si>
    <t xml:space="preserve">Imagen para compartir en redes (og:image) y respaldo</t>
  </si>
  <si>
    <t xml:space="preserve">logo-ferzamac.png</t>
  </si>
  <si>
    <t xml:space="preserve">Renderizado desde el SVG.</t>
  </si>
  <si>
    <t xml:space="preserve">L04</t>
  </si>
  <si>
    <t xml:space="preserve">logo/logo-ferzamac-blanco.png</t>
  </si>
  <si>
    <t xml:space="preserve">Logo blanco, PNG transparente (2400 px)</t>
  </si>
  <si>
    <t xml:space="preserve">Respaldo</t>
  </si>
  <si>
    <t xml:space="preserve">logo-ferzamac-blanco.png</t>
  </si>
  <si>
    <t xml:space="preserve">L05</t>
  </si>
  <si>
    <t xml:space="preserve">logo/favicon.svg y favicon-32/180/512.png</t>
  </si>
  <si>
    <t xml:space="preserve">Ícono de la F para favicon</t>
  </si>
  <si>
    <t xml:space="preserve">SVG + PNG</t>
  </si>
  <si>
    <t xml:space="preserve">Pestaña del navegador y apple-touch-icon</t>
  </si>
  <si>
    <t xml:space="preserve">favicon.svg</t>
  </si>
  <si>
    <t xml:space="preserve">Probado a 32 px.</t>
  </si>
  <si>
    <t xml:space="preserve">L06</t>
  </si>
  <si>
    <t xml:space="preserve">CATALOGO_FERZAMAC_INDUSTRIAL_pdf.png</t>
  </si>
  <si>
    <t xml:space="preserve">Logo original (1920×1080, fondo blanco, logo de 814×215 px)</t>
  </si>
  <si>
    <t xml:space="preserve">Reemplazado por los archivos vectoriales.</t>
  </si>
  <si>
    <t xml:space="preserve">#</t>
  </si>
  <si>
    <t xml:space="preserve">Ruta provisional</t>
  </si>
  <si>
    <t xml:space="preserve">Área</t>
  </si>
  <si>
    <t xml:space="preserve">Título H1 propuesto</t>
  </si>
  <si>
    <t xml:space="preserve">Frase objetivo SEO (hipótesis a validar)</t>
  </si>
  <si>
    <t xml:space="preserve">Fuentes en el catálogo / video</t>
  </si>
  <si>
    <t xml:space="preserve">Estado del contenido</t>
  </si>
  <si>
    <t xml:space="preserve">Qué falta</t>
  </si>
  <si>
    <t xml:space="preserve">Proyecto</t>
  </si>
  <si>
    <t xml:space="preserve">Industrial</t>
  </si>
  <si>
    <t xml:space="preserve">Línea de embutidos y equipos de matadero en Sopachuy</t>
  </si>
  <si>
    <t xml:space="preserve">equipos para matadero y línea de embutidos Bolivia</t>
  </si>
  <si>
    <t xml:space="preserve">P52–P62 + clip y fotogramas de cámara de frío + fotogramas del cajón</t>
  </si>
  <si>
    <t xml:space="preserve">Parcial</t>
  </si>
  <si>
    <t xml:space="preserve">Datos técnicos de P59–P62 (no disponibles): se publica con nombre y foto.</t>
  </si>
  <si>
    <t xml:space="preserve">Línea de clasificación de naranjas y generación de vapor en Huacareta</t>
  </si>
  <si>
    <t xml:space="preserve">línea de clasificación de frutas Bolivia</t>
  </si>
  <si>
    <t xml:space="preserve">P63–P64 + 4 clips y 5 fotogramas</t>
  </si>
  <si>
    <t xml:space="preserve">Capacidad de la línea y del caldero [por confirmar].</t>
  </si>
  <si>
    <t xml:space="preserve">Hospitalaria</t>
  </si>
  <si>
    <t xml:space="preserve">Agua purificada y sistemas en el Hospital Jaime Mendoza (Sucre)</t>
  </si>
  <si>
    <t xml:space="preserve">planta de tratamiento de agua hospitalaria Bolivia</t>
  </si>
  <si>
    <t xml:space="preserve">P18, P19, P21, P24</t>
  </si>
  <si>
    <t xml:space="preserve">Completo</t>
  </si>
  <si>
    <t xml:space="preserve">Permiso para nombrar al cliente.</t>
  </si>
  <si>
    <t xml:space="preserve">Aire comprimido y sistemas en hospitales y centros de salud</t>
  </si>
  <si>
    <t xml:space="preserve">instalación de aire comprimido hospitalario</t>
  </si>
  <si>
    <t xml:space="preserve">P22, P23, P25</t>
  </si>
  <si>
    <t xml:space="preserve">Detalle del alcance en el Hospital Chuquisaca.</t>
  </si>
  <si>
    <t xml:space="preserve">Mantenimiento de transformadores en YLB (Uyuni) y plantas de lácteos</t>
  </si>
  <si>
    <t xml:space="preserve">mantenimiento de transformadores eléctricos Bolivia</t>
  </si>
  <si>
    <t xml:space="preserve">P47–P51 + texto P48</t>
  </si>
  <si>
    <t xml:space="preserve">Permiso para nombrar a YLB.</t>
  </si>
  <si>
    <t xml:space="preserve">Mantenimiento de cocinas y hornos industriales (La Paz y Sucre)</t>
  </si>
  <si>
    <t xml:space="preserve">mantenimiento de hornos industriales</t>
  </si>
  <si>
    <t xml:space="preserve">P38–P40, P42–P44</t>
  </si>
  <si>
    <t xml:space="preserve">Fotos de P40 y P43 de baja calidad.</t>
  </si>
  <si>
    <t xml:space="preserve">Grupos electrógenos en EBA (Beni) y Centro de Salud Centinela</t>
  </si>
  <si>
    <t xml:space="preserve">instalación de grupo electrógeno Bolivia</t>
  </si>
  <si>
    <t xml:space="preserve">P26–P28</t>
  </si>
  <si>
    <t xml:space="preserve">Potencia y modelo de los equipos.</t>
  </si>
  <si>
    <t xml:space="preserve">Planta Cuatro Cañadas (Santa Cruz)</t>
  </si>
  <si>
    <t xml:space="preserve">P11, P12, P16</t>
  </si>
  <si>
    <t xml:space="preserve">Solo fotos; sin datos del proyecto.</t>
  </si>
  <si>
    <t xml:space="preserve">Solución</t>
  </si>
  <si>
    <t xml:space="preserve">Ensacadora de saco valvulado</t>
  </si>
  <si>
    <t xml:space="preserve">ensacadora de saco valvulado</t>
  </si>
  <si>
    <t xml:space="preserve">P15 (+ posible P16)</t>
  </si>
  <si>
    <t xml:space="preserve">Foto principal de mejor calidad.</t>
  </si>
  <si>
    <t xml:space="preserve">Molino de martillos en acero inoxidable</t>
  </si>
  <si>
    <t xml:space="preserve">molino de martillos acero inoxidable</t>
  </si>
  <si>
    <t xml:space="preserve">Humidificador de granos de 4 t/h</t>
  </si>
  <si>
    <t xml:space="preserve">humidificador de granos</t>
  </si>
  <si>
    <t xml:space="preserve">Tornillo helicoidal transportador</t>
  </si>
  <si>
    <t xml:space="preserve">tornillo helicoidal transportador</t>
  </si>
  <si>
    <t xml:space="preserve">Elevador de cangilones: tambores y bandejas</t>
  </si>
  <si>
    <t xml:space="preserve">elevador de cangilones</t>
  </si>
  <si>
    <t xml:space="preserve">P9, P17</t>
  </si>
  <si>
    <t xml:space="preserve">Planta separadora de residuos sólidos de 300 t/día</t>
  </si>
  <si>
    <t xml:space="preserve">planta separadora de residuos sólidos</t>
  </si>
  <si>
    <t xml:space="preserve">P6</t>
  </si>
  <si>
    <t xml:space="preserve">Descripción del proceso.</t>
  </si>
  <si>
    <t xml:space="preserve">enfriamiento para matadero de pollos</t>
  </si>
  <si>
    <t xml:space="preserve">P7, P8</t>
  </si>
  <si>
    <t xml:space="preserve">Descripción técnica.</t>
  </si>
  <si>
    <t xml:space="preserve">Diseño y montaje de grupo electrógeno</t>
  </si>
  <si>
    <t xml:space="preserve">grupo electrógeno instalación</t>
  </si>
  <si>
    <t xml:space="preserve">Datos técnicos.</t>
  </si>
  <si>
    <t xml:space="preserve">Mantenimiento de transformadores eléctricos</t>
  </si>
  <si>
    <t xml:space="preserve">mantenimiento de transformadores eléctricos</t>
  </si>
  <si>
    <t xml:space="preserve">Mantenimiento y reparación de balanzas camioneras con certificación IBMETRO</t>
  </si>
  <si>
    <t xml:space="preserve">mantenimiento de balanzas camioneras IBMETRO</t>
  </si>
  <si>
    <t xml:space="preserve">Alcance del servicio.</t>
  </si>
  <si>
    <t xml:space="preserve">embobinado de motores eléctricos</t>
  </si>
  <si>
    <t xml:space="preserve">P36, P37</t>
  </si>
  <si>
    <t xml:space="preserve">Mantenimiento de campanas, ductos, cocinas y hornos industriales</t>
  </si>
  <si>
    <t xml:space="preserve">mantenimiento de campanas y ductos industriales</t>
  </si>
  <si>
    <t xml:space="preserve">Mantenimiento de ollas marmitas y carros termo eléctricos</t>
  </si>
  <si>
    <t xml:space="preserve">mantenimiento de ollas marmitas</t>
  </si>
  <si>
    <t xml:space="preserve">P42, P44</t>
  </si>
  <si>
    <t xml:space="preserve">Planta de tratamiento de agua purificada industrial y hospitalaria</t>
  </si>
  <si>
    <t xml:space="preserve">planta de agua purificada hospital</t>
  </si>
  <si>
    <t xml:space="preserve">P18, P21</t>
  </si>
  <si>
    <t xml:space="preserve">Mantenimiento de plantas de agua para hemodiálisis</t>
  </si>
  <si>
    <t xml:space="preserve">mantenimiento planta de agua hemodiálisis</t>
  </si>
  <si>
    <t xml:space="preserve">Permiso para nombrar al municipio.</t>
  </si>
  <si>
    <t xml:space="preserve">Generación y montaje de sistemas de aire comprimido</t>
  </si>
  <si>
    <t xml:space="preserve">sistema de aire comprimido hospitalario</t>
  </si>
  <si>
    <t xml:space="preserve">Sistema de control y monitoreo remoto por llamadores</t>
  </si>
  <si>
    <t xml:space="preserve">sistema de llamado de emergencia hospital</t>
  </si>
  <si>
    <t xml:space="preserve">Sin fotos propias.</t>
  </si>
  <si>
    <t xml:space="preserve">Servicio</t>
  </si>
  <si>
    <t xml:space="preserve">Consultoría</t>
  </si>
  <si>
    <t xml:space="preserve">Estudios y diseño técnico de plantas industriales</t>
  </si>
  <si>
    <t xml:space="preserve">diseño de plantas procesadoras de alimentos</t>
  </si>
  <si>
    <t xml:space="preserve">P30–P34</t>
  </si>
  <si>
    <t xml:space="preserve">Diagramas a redibujar.</t>
  </si>
  <si>
    <t xml:space="preserve">/</t>
  </si>
  <si>
    <t xml:space="preserve">Página</t>
  </si>
  <si>
    <t xml:space="preserve">General</t>
  </si>
  <si>
    <t xml:space="preserve">Inicio</t>
  </si>
  <si>
    <t xml:space="preserve">fabricación de maquinaria industrial en Sucre</t>
  </si>
  <si>
    <t xml:space="preserve">P2, P6–P8, P64, logo</t>
  </si>
  <si>
    <t xml:space="preserve">Cifras de trayectoria (P4 vacía).</t>
  </si>
  <si>
    <t xml:space="preserve">Nosotros</t>
  </si>
  <si>
    <t xml:space="preserve">empresa de ingeniería industrial en Sucre</t>
  </si>
  <si>
    <t xml:space="preserve">P2, P3, P66</t>
  </si>
  <si>
    <t xml:space="preserve">Años de experiencia; permiso para logos de marcas.</t>
  </si>
  <si>
    <t xml:space="preserve">/contacto</t>
  </si>
  <si>
    <t xml:space="preserve">Contacto</t>
  </si>
  <si>
    <t xml:space="preserve">Sitio actual: calle René Moreno Nº 162, Sucre; tel. (+591) 72877116</t>
  </si>
  <si>
    <t xml:space="preserve">WhatsApp, correo, horarios.</t>
  </si>
  <si>
    <t xml:space="preserve">Rutas y títulos provisionales: se confirman en la fase de estructura del proyecto. Las frases objetivo son hipótesis basadas en el vocabulario del catálogo; falta validarlas con Search Console y el Planificador de Palabras Clave.</t>
  </si>
  <si>
    <t xml:space="preserve">Pág.</t>
  </si>
  <si>
    <t xml:space="preserve">Texto en el catálogo</t>
  </si>
  <si>
    <t xml:space="preserve">Corrección sugerida</t>
  </si>
  <si>
    <t xml:space="preserve">Nota</t>
  </si>
  <si>
    <t xml:space="preserve">m´áquinas</t>
  </si>
  <si>
    <t xml:space="preserve">máquinas</t>
  </si>
  <si>
    <t xml:space="preserve">memoria de calculó</t>
  </si>
  <si>
    <t xml:space="preserve">memoria de cálculo</t>
  </si>
  <si>
    <t xml:space="preserve">DIMENSINES TÉCNICAS</t>
  </si>
  <si>
    <t xml:space="preserve">Dimensiones técnicas</t>
  </si>
  <si>
    <t xml:space="preserve">DISEÑO YCONTRUCCIÓN DE EQUIPO HUMIDIFICADOR DE GRANOS</t>
  </si>
  <si>
    <t xml:space="preserve">Diseño y construcción de equipo humidificador de granos</t>
  </si>
  <si>
    <t xml:space="preserve">DISEÑO Y CONTRUCCIÓN DE TORNILLO HELICOIDAL</t>
  </si>
  <si>
    <t xml:space="preserve">Diseño y construcción de tornillo helicoidal</t>
  </si>
  <si>
    <t xml:space="preserve">45GRADOS DEINCLINACIÓN</t>
  </si>
  <si>
    <t xml:space="preserve">45° de inclinación</t>
  </si>
  <si>
    <t xml:space="preserve">ELÉCTRÓNICOS</t>
  </si>
  <si>
    <t xml:space="preserve">electrónicos</t>
  </si>
  <si>
    <t xml:space="preserve">ESCENCIA DURAZNO Y CHIRIMOYA</t>
  </si>
  <si>
    <t xml:space="preserve">Esencia de durazno y chirimoya</t>
  </si>
  <si>
    <t xml:space="preserve">Gráfico: Planta de planta empaquetadora de manzana</t>
  </si>
  <si>
    <t xml:space="preserve">Gráfico: planta empaquetadora de manzana</t>
  </si>
  <si>
    <t xml:space="preserve">MULTIETÁPICAS</t>
  </si>
  <si>
    <t xml:space="preserve">multietapa</t>
  </si>
  <si>
    <t xml:space="preserve">Confirmar con el equipo técnico.</t>
  </si>
  <si>
    <t xml:space="preserve">DESINFECCIÓN DEL CALDEROS</t>
  </si>
  <si>
    <t xml:space="preserve">Desinfección de los calderos</t>
  </si>
  <si>
    <t xml:space="preserve">PARAHEMODIÁLISISQUE ESUTILIZADAENELCENTRODESALUDINTEGRALEL CARMEN KM10DELMUNICIPIOLAGUARDIA</t>
  </si>
  <si>
    <t xml:space="preserve">para hemodiálisis, que se utiliza en el Centro de Salud Integral El Carmen, km 10, municipio de La Guardia</t>
  </si>
  <si>
    <t xml:space="preserve">Texto pegado sin espacios.</t>
  </si>
  <si>
    <t xml:space="preserve">REACONIDICONAMIENTO INTEGRAL DE LA ESTRUCTURA METALICA</t>
  </si>
  <si>
    <t xml:space="preserve">Reacondicionamiento integral de la estructura metálica</t>
  </si>
  <si>
    <t xml:space="preserve">YACIMIENTOSDELITIO BOLIVIANOS YLB</t>
  </si>
  <si>
    <t xml:space="preserve">Yacimientos de Litio Bolivianos (YLB)</t>
  </si>
  <si>
    <t xml:space="preserve">Maquina Envasadora al vacío</t>
  </si>
  <si>
    <t xml:space="preserve">Máquina envasadora al vacío</t>
  </si>
  <si>
    <t xml:space="preserve">DESCRIPCION / DATOS TECNICOS</t>
  </si>
  <si>
    <t xml:space="preserve">Descripción / Datos técnicos</t>
  </si>
  <si>
    <t xml:space="preserve">Sin contenido.</t>
  </si>
  <si>
    <t xml:space="preserve">Cierra divisoria</t>
  </si>
  <si>
    <t xml:space="preserve">¿Cierre divisorio?</t>
  </si>
  <si>
    <t xml:space="preserve">Confirmar con el cliente.</t>
  </si>
  <si>
    <t xml:space="preserve">Tuna de escaldado</t>
  </si>
  <si>
    <t xml:space="preserve">¿Tina de escaldado?</t>
  </si>
  <si>
    <t xml:space="preserve">Tarea</t>
  </si>
  <si>
    <t xml:space="preserve">Responsable</t>
  </si>
  <si>
    <t xml:space="preserve">Estado</t>
  </si>
  <si>
    <t xml:space="preserve">Detalle</t>
  </si>
  <si>
    <t xml:space="preserve">Mejorar con IA las fotos marcadas "Usar tras mejorar"</t>
  </si>
  <si>
    <t xml:space="preserve">Tú</t>
  </si>
  <si>
    <t xml:space="preserve">Pendiente</t>
  </si>
  <si>
    <t xml:space="preserve">Escalar sin regenerar: la maquinaria debe verse igual que en la realidad. Mínimo 1600 px en fotos principales y 1200 px en galería.</t>
  </si>
  <si>
    <t xml:space="preserve">Mejorar con IA los 5 clips recortados</t>
  </si>
  <si>
    <t xml:space="preserve">Escalar ×2 sin regenerar; entregar en MP4 sin audio.</t>
  </si>
  <si>
    <t xml:space="preserve">Confirmar permiso para nombrar clientes públicamente</t>
  </si>
  <si>
    <t xml:space="preserve">Hospital Jaime Mendoza, CNS, Hospital Chuquisaca, YLB, EBA, ENVIBOL, Caja Bancaria Estatal de Salud, Gobierno Municipal de La Guardia.</t>
  </si>
  <si>
    <t xml:space="preserve">Conseguir años de trayectoria y cantidad de proyectos (P4 vacía)</t>
  </si>
  <si>
    <t xml:space="preserve">Sin esos datos no se puede armar la franja de cifras de la home.</t>
  </si>
  <si>
    <t xml:space="preserve">Datos de contacto: WhatsApp, correo y horarios</t>
  </si>
  <si>
    <t xml:space="preserve">Teléfono y dirección ya están en el sitio actual.</t>
  </si>
  <si>
    <t xml:space="preserve">Conseguir los logos de las marcas (P66) en SVG</t>
  </si>
  <si>
    <t xml:space="preserve">Titular sugerido: "Marcas con las que trabajamos". No sugerir distribución autorizada si no lo es.</t>
  </si>
  <si>
    <t xml:space="preserve">Confirmar si la ensacadora de la P16 es la misma de la P15</t>
  </si>
  <si>
    <t xml:space="preserve">La P15 tiene una foto de 333×453; la P16 podría ofrecer una mejor.</t>
  </si>
  <si>
    <t xml:space="preserve">Recortar las fotos individuales de las tiras (P11, 12, 25, 28, 37, 39, 41, 44, 47)</t>
  </si>
  <si>
    <t xml:space="preserve">Claude</t>
  </si>
  <si>
    <t xml:space="preserve">Se hace en la fase de armado del proyecto.</t>
  </si>
  <si>
    <t xml:space="preserve">Redactar textos largos con datos reales y marcas [por confirmar]</t>
  </si>
  <si>
    <t xml:space="preserve">Mínimo ~300 palabras por página, sin inventar especificaciones.</t>
  </si>
  <si>
    <t xml:space="preserve">Definir la estructura del proyecto y las rutas definitivas</t>
  </si>
  <si>
    <t xml:space="preserve">Ambos</t>
  </si>
  <si>
    <t xml:space="preserve">Siguiente</t>
  </si>
  <si>
    <t xml:space="preserve">Siguiente paso, ya con este inventario.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</si>
</sst>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4D5C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4D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4E7"/>
      </left>
      <right style="thin">
        <color rgb="FFD9E4E7"/>
      </right>
      <top style="thin">
        <color rgb="FFD9E4E7"/>
      </top>
      <bottom style="thin">
        <color rgb="FFD9E4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A4D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7F0DA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7F0DA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4CCCC"/>
        </patternFill>
      </fill>
    </dxf>
    <dxf>
      <fill>
        <patternFill>
          <bgColor rgb="FFE4DF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4E7"/>
      <rgbColor rgb="FFD7F0DA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4D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3"/>
      <c r="C3" s="3"/>
      <c r="D3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3"/>
    </row>
    <row r="5" customFormat="false" ht="15" hidden="false" customHeight="false" outlineLevel="0" collapsed="false">
      <c r="A5" s="3" t="s">
        <v>5</v>
      </c>
      <c r="B5" s="3" t="n">
        <f aca="false">COUNTIF(Inventario!$H$2:$H$93,A5)</f>
        <v>28</v>
      </c>
      <c r="C5" s="3" t="n">
        <f aca="false">COUNTIFS(Inventario!$H$2:$H$93,A5,Inventario!$B$2:$B$93,"Catálogo PDF")</f>
        <v>23</v>
      </c>
      <c r="D5" s="3" t="s">
        <v>6</v>
      </c>
    </row>
    <row r="6" customFormat="false" ht="15" hidden="false" customHeight="false" outlineLevel="0" collapsed="false">
      <c r="A6" s="3" t="s">
        <v>7</v>
      </c>
      <c r="B6" s="3" t="n">
        <f aca="false">COUNTIF(Inventario!$H$2:$H$93,A6)</f>
        <v>44</v>
      </c>
      <c r="C6" s="3" t="n">
        <f aca="false">COUNTIFS(Inventario!$H$2:$H$93,A6,Inventario!$B$2:$B$93,"Catálogo PDF")</f>
        <v>26</v>
      </c>
      <c r="D6" s="3" t="s">
        <v>8</v>
      </c>
    </row>
    <row r="7" customFormat="false" ht="15" hidden="false" customHeight="false" outlineLevel="0" collapsed="false">
      <c r="A7" s="3" t="s">
        <v>9</v>
      </c>
      <c r="B7" s="3" t="n">
        <f aca="false">COUNTIF(Inventario!$H$2:$H$93,A7)</f>
        <v>4</v>
      </c>
      <c r="C7" s="3" t="n">
        <f aca="false">COUNTIFS(Inventario!$H$2:$H$93,A7,Inventario!$B$2:$B$93,"Catálogo PDF")</f>
        <v>4</v>
      </c>
      <c r="D7" s="3" t="s">
        <v>10</v>
      </c>
    </row>
    <row r="8" customFormat="false" ht="15" hidden="false" customHeight="false" outlineLevel="0" collapsed="false">
      <c r="A8" s="3" t="s">
        <v>11</v>
      </c>
      <c r="B8" s="3" t="n">
        <f aca="false">COUNTIF(Inventario!$H$2:$H$93,A8)</f>
        <v>11</v>
      </c>
      <c r="C8" s="3" t="n">
        <f aca="false">COUNTIFS(Inventario!$H$2:$H$93,A8,Inventario!$B$2:$B$93,"Catálogo PDF")</f>
        <v>9</v>
      </c>
      <c r="D8" s="3" t="s">
        <v>12</v>
      </c>
    </row>
    <row r="9" customFormat="false" ht="15" hidden="false" customHeight="false" outlineLevel="0" collapsed="false">
      <c r="A9" s="3" t="s">
        <v>13</v>
      </c>
      <c r="B9" s="3" t="n">
        <f aca="false">COUNTIF(Inventario!$H$2:$H$93,A9)</f>
        <v>5</v>
      </c>
      <c r="C9" s="3" t="n">
        <f aca="false">COUNTIFS(Inventario!$H$2:$H$93,A9,Inventario!$B$2:$B$93,"Catálogo PDF")</f>
        <v>5</v>
      </c>
      <c r="D9" s="3" t="s">
        <v>14</v>
      </c>
    </row>
    <row r="10" customFormat="false" ht="15" hidden="false" customHeight="false" outlineLevel="0" collapsed="false">
      <c r="A10" s="5" t="s">
        <v>15</v>
      </c>
      <c r="B10" s="5" t="n">
        <f aca="false">SUM(B5:B9)</f>
        <v>92</v>
      </c>
      <c r="C10" s="5" t="n">
        <f aca="false">SUM(C5:C9)</f>
        <v>67</v>
      </c>
      <c r="D10" s="3"/>
    </row>
    <row r="11" customFormat="false" ht="15" hidden="false" customHeight="false" outlineLevel="0" collapsed="false">
      <c r="A11" s="3"/>
      <c r="B11" s="3"/>
      <c r="C11" s="3"/>
      <c r="D11" s="3"/>
    </row>
    <row r="12" customFormat="false" ht="15" hidden="false" customHeight="false" outlineLevel="0" collapsed="false">
      <c r="A12" s="4" t="s">
        <v>16</v>
      </c>
      <c r="B12" s="4" t="s">
        <v>3</v>
      </c>
      <c r="C12" s="4" t="s">
        <v>4</v>
      </c>
      <c r="D12" s="3"/>
    </row>
    <row r="13" customFormat="false" ht="15" hidden="false" customHeight="false" outlineLevel="0" collapsed="false">
      <c r="A13" s="3" t="s">
        <v>17</v>
      </c>
      <c r="B13" s="3" t="n">
        <f aca="false">COUNTIF(Inventario!$G$2:$G$93,A13)</f>
        <v>24</v>
      </c>
      <c r="C13" s="3" t="n">
        <f aca="false">COUNTIFS(Inventario!$G$2:$G$93,A13,Inventario!$B$2:$B$93,"Catálogo PDF")</f>
        <v>16</v>
      </c>
      <c r="D13" s="3"/>
    </row>
    <row r="14" customFormat="false" ht="15" hidden="false" customHeight="false" outlineLevel="0" collapsed="false">
      <c r="A14" s="3" t="s">
        <v>18</v>
      </c>
      <c r="B14" s="3" t="n">
        <f aca="false">COUNTIF(Inventario!$G$2:$G$93,A14)</f>
        <v>46</v>
      </c>
      <c r="C14" s="3" t="n">
        <f aca="false">COUNTIFS(Inventario!$G$2:$G$93,A14,Inventario!$B$2:$B$93,"Catálogo PDF")</f>
        <v>32</v>
      </c>
      <c r="D14" s="3"/>
    </row>
    <row r="15" customFormat="false" ht="15" hidden="false" customHeight="false" outlineLevel="0" collapsed="false">
      <c r="A15" s="3" t="s">
        <v>19</v>
      </c>
      <c r="B15" s="3" t="n">
        <f aca="false">COUNTIF(Inventario!$G$2:$G$93,A15)</f>
        <v>18</v>
      </c>
      <c r="C15" s="3" t="n">
        <f aca="false">COUNTIFS(Inventario!$G$2:$G$93,A15,Inventario!$B$2:$B$93,"Catálogo PDF")</f>
        <v>15</v>
      </c>
      <c r="D15" s="3"/>
    </row>
    <row r="16" customFormat="false" ht="15" hidden="false" customHeight="false" outlineLevel="0" collapsed="false">
      <c r="A16" s="3" t="s">
        <v>20</v>
      </c>
      <c r="B16" s="3" t="n">
        <f aca="false">COUNTIF(Inventario!$G$2:$G$93,A16)</f>
        <v>4</v>
      </c>
      <c r="C16" s="3" t="n">
        <f aca="false">COUNTIFS(Inventario!$G$2:$G$93,A16,Inventario!$B$2:$B$93,"Catálogo PDF")</f>
        <v>4</v>
      </c>
      <c r="D16" s="3"/>
    </row>
    <row r="17" customFormat="false" ht="15" hidden="false" customHeight="false" outlineLevel="0" collapsed="false">
      <c r="A17" s="3"/>
      <c r="B17" s="3"/>
      <c r="C17" s="3"/>
      <c r="D17" s="3"/>
    </row>
    <row r="18" customFormat="false" ht="15" hidden="false" customHeight="false" outlineLevel="0" collapsed="false">
      <c r="A18" s="3" t="s">
        <v>21</v>
      </c>
      <c r="B18" s="3" t="n">
        <f aca="false">COUNTIF('Páginas del sitio'!$H$2:$H$30,"Completo")</f>
        <v>14</v>
      </c>
      <c r="C18" s="3"/>
      <c r="D18" s="3"/>
    </row>
    <row r="19" customFormat="false" ht="15" hidden="false" customHeight="false" outlineLevel="0" collapsed="false">
      <c r="A19" s="3" t="s">
        <v>22</v>
      </c>
      <c r="B19" s="3" t="n">
        <f aca="false">COUNTIF('Páginas del sitio'!$H$2:$H$30,"Parcial")</f>
        <v>15</v>
      </c>
      <c r="C19" s="3"/>
      <c r="D1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44"/>
    <col collapsed="false" customWidth="true" hidden="false" outlineLevel="0" max="10" min="10" style="0" width="46"/>
    <col collapsed="false" customWidth="true" hidden="false" outlineLevel="0" max="11" min="11" style="0" width="24"/>
    <col collapsed="false" customWidth="true" hidden="false" outlineLevel="0" max="12" min="12" style="0" width="58"/>
  </cols>
  <sheetData>
    <row r="1" customFormat="false" ht="30" hidden="false" customHeight="true" outlineLevel="0" collapsed="false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2</v>
      </c>
      <c r="I1" s="6" t="s">
        <v>30</v>
      </c>
      <c r="J1" s="6" t="s">
        <v>31</v>
      </c>
      <c r="K1" s="6" t="s">
        <v>32</v>
      </c>
      <c r="L1" s="6" t="s">
        <v>33</v>
      </c>
    </row>
    <row r="2" customFormat="false" ht="23.85" hidden="false" customHeight="false" outlineLevel="0" collapsed="false">
      <c r="A2" s="7" t="s">
        <v>34</v>
      </c>
      <c r="B2" s="7" t="s">
        <v>35</v>
      </c>
      <c r="C2" s="7" t="s">
        <v>36</v>
      </c>
      <c r="D2" s="7" t="s">
        <v>37</v>
      </c>
      <c r="E2" s="7" t="s">
        <v>38</v>
      </c>
      <c r="F2" s="7" t="s">
        <v>39</v>
      </c>
      <c r="G2" s="7" t="s">
        <v>19</v>
      </c>
      <c r="H2" s="7" t="s">
        <v>11</v>
      </c>
      <c r="I2" s="7" t="s">
        <v>40</v>
      </c>
      <c r="J2" s="7" t="s">
        <v>40</v>
      </c>
      <c r="K2" s="7" t="s">
        <v>40</v>
      </c>
      <c r="L2" s="7" t="s">
        <v>41</v>
      </c>
    </row>
    <row r="3" customFormat="false" ht="23.85" hidden="false" customHeight="false" outlineLevel="0" collapsed="false">
      <c r="A3" s="7" t="s">
        <v>42</v>
      </c>
      <c r="B3" s="7" t="s">
        <v>35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19</v>
      </c>
      <c r="H3" s="7" t="s">
        <v>9</v>
      </c>
      <c r="I3" s="7" t="s">
        <v>47</v>
      </c>
      <c r="J3" s="7" t="s">
        <v>40</v>
      </c>
      <c r="K3" s="7" t="s">
        <v>40</v>
      </c>
      <c r="L3" s="7" t="s">
        <v>48</v>
      </c>
    </row>
    <row r="4" customFormat="false" ht="15" hidden="false" customHeight="false" outlineLevel="0" collapsed="false">
      <c r="A4" s="7" t="s">
        <v>49</v>
      </c>
      <c r="B4" s="7" t="s">
        <v>35</v>
      </c>
      <c r="C4" s="7" t="s">
        <v>50</v>
      </c>
      <c r="D4" s="7" t="s">
        <v>51</v>
      </c>
      <c r="E4" s="7" t="s">
        <v>52</v>
      </c>
      <c r="F4" s="7" t="s">
        <v>40</v>
      </c>
      <c r="G4" s="7" t="s">
        <v>20</v>
      </c>
      <c r="H4" s="7" t="s">
        <v>9</v>
      </c>
      <c r="I4" s="7" t="s">
        <v>53</v>
      </c>
      <c r="J4" s="7" t="s">
        <v>40</v>
      </c>
      <c r="K4" s="7" t="s">
        <v>40</v>
      </c>
      <c r="L4" s="7" t="s">
        <v>54</v>
      </c>
    </row>
    <row r="5" customFormat="false" ht="15" hidden="false" customHeight="false" outlineLevel="0" collapsed="false">
      <c r="A5" s="7" t="s">
        <v>55</v>
      </c>
      <c r="B5" s="7" t="s">
        <v>35</v>
      </c>
      <c r="C5" s="7" t="s">
        <v>56</v>
      </c>
      <c r="D5" s="7" t="s">
        <v>57</v>
      </c>
      <c r="E5" s="7" t="s">
        <v>58</v>
      </c>
      <c r="F5" s="7" t="s">
        <v>59</v>
      </c>
      <c r="G5" s="7" t="s">
        <v>20</v>
      </c>
      <c r="H5" s="7" t="s">
        <v>13</v>
      </c>
      <c r="I5" s="7" t="s">
        <v>53</v>
      </c>
      <c r="J5" s="7" t="s">
        <v>40</v>
      </c>
      <c r="K5" s="7" t="s">
        <v>40</v>
      </c>
      <c r="L5" s="7" t="s">
        <v>60</v>
      </c>
    </row>
    <row r="6" customFormat="false" ht="15" hidden="false" customHeight="false" outlineLevel="0" collapsed="false">
      <c r="A6" s="7" t="s">
        <v>61</v>
      </c>
      <c r="B6" s="7" t="s">
        <v>35</v>
      </c>
      <c r="C6" s="7" t="s">
        <v>62</v>
      </c>
      <c r="D6" s="7" t="s">
        <v>63</v>
      </c>
      <c r="E6" s="7" t="s">
        <v>58</v>
      </c>
      <c r="F6" s="7" t="s">
        <v>64</v>
      </c>
      <c r="G6" s="7" t="s">
        <v>19</v>
      </c>
      <c r="H6" s="7" t="s">
        <v>11</v>
      </c>
      <c r="I6" s="7" t="s">
        <v>40</v>
      </c>
      <c r="J6" s="7" t="s">
        <v>40</v>
      </c>
      <c r="K6" s="7" t="s">
        <v>40</v>
      </c>
      <c r="L6" s="7" t="s">
        <v>65</v>
      </c>
    </row>
    <row r="7" customFormat="false" ht="15" hidden="false" customHeight="false" outlineLevel="0" collapsed="false">
      <c r="A7" s="7" t="s">
        <v>66</v>
      </c>
      <c r="B7" s="7" t="s">
        <v>35</v>
      </c>
      <c r="C7" s="7" t="s">
        <v>67</v>
      </c>
      <c r="D7" s="7" t="s">
        <v>68</v>
      </c>
      <c r="E7" s="7" t="s">
        <v>69</v>
      </c>
      <c r="F7" s="7" t="s">
        <v>70</v>
      </c>
      <c r="G7" s="7" t="s">
        <v>18</v>
      </c>
      <c r="H7" s="7" t="s">
        <v>7</v>
      </c>
      <c r="I7" s="7" t="s">
        <v>71</v>
      </c>
      <c r="J7" s="7" t="s">
        <v>72</v>
      </c>
      <c r="K7" s="7" t="s">
        <v>73</v>
      </c>
      <c r="L7" s="7" t="s">
        <v>74</v>
      </c>
    </row>
    <row r="8" customFormat="false" ht="15" hidden="false" customHeight="false" outlineLevel="0" collapsed="false">
      <c r="A8" s="7" t="s">
        <v>75</v>
      </c>
      <c r="B8" s="7" t="s">
        <v>35</v>
      </c>
      <c r="C8" s="7" t="s">
        <v>76</v>
      </c>
      <c r="D8" s="7" t="s">
        <v>77</v>
      </c>
      <c r="E8" s="7" t="s">
        <v>78</v>
      </c>
      <c r="F8" s="7" t="s">
        <v>79</v>
      </c>
      <c r="G8" s="7" t="s">
        <v>18</v>
      </c>
      <c r="H8" s="7" t="s">
        <v>7</v>
      </c>
      <c r="I8" s="7" t="s">
        <v>80</v>
      </c>
      <c r="J8" s="7" t="s">
        <v>81</v>
      </c>
      <c r="K8" s="7" t="s">
        <v>73</v>
      </c>
      <c r="L8" s="7" t="s">
        <v>82</v>
      </c>
    </row>
    <row r="9" customFormat="false" ht="15" hidden="false" customHeight="false" outlineLevel="0" collapsed="false">
      <c r="A9" s="7" t="s">
        <v>83</v>
      </c>
      <c r="B9" s="7" t="s">
        <v>35</v>
      </c>
      <c r="C9" s="7" t="s">
        <v>84</v>
      </c>
      <c r="D9" s="7" t="s">
        <v>85</v>
      </c>
      <c r="E9" s="7" t="s">
        <v>69</v>
      </c>
      <c r="F9" s="7" t="s">
        <v>86</v>
      </c>
      <c r="G9" s="7" t="s">
        <v>18</v>
      </c>
      <c r="H9" s="7" t="s">
        <v>7</v>
      </c>
      <c r="I9" s="7" t="s">
        <v>87</v>
      </c>
      <c r="J9" s="7" t="s">
        <v>88</v>
      </c>
      <c r="K9" s="7" t="s">
        <v>73</v>
      </c>
      <c r="L9" s="7" t="s">
        <v>89</v>
      </c>
    </row>
    <row r="10" customFormat="false" ht="23.85" hidden="false" customHeight="false" outlineLevel="0" collapsed="false">
      <c r="A10" s="7" t="s">
        <v>90</v>
      </c>
      <c r="B10" s="7" t="s">
        <v>35</v>
      </c>
      <c r="C10" s="7" t="s">
        <v>91</v>
      </c>
      <c r="D10" s="7" t="s">
        <v>92</v>
      </c>
      <c r="E10" s="7" t="s">
        <v>93</v>
      </c>
      <c r="F10" s="7" t="s">
        <v>94</v>
      </c>
      <c r="G10" s="7" t="s">
        <v>18</v>
      </c>
      <c r="H10" s="7" t="s">
        <v>7</v>
      </c>
      <c r="I10" s="7" t="s">
        <v>95</v>
      </c>
      <c r="J10" s="7" t="s">
        <v>96</v>
      </c>
      <c r="K10" s="7" t="s">
        <v>73</v>
      </c>
      <c r="L10" s="7" t="s">
        <v>97</v>
      </c>
    </row>
    <row r="11" customFormat="false" ht="15" hidden="false" customHeight="false" outlineLevel="0" collapsed="false">
      <c r="A11" s="7" t="s">
        <v>98</v>
      </c>
      <c r="B11" s="7" t="s">
        <v>35</v>
      </c>
      <c r="C11" s="7" t="s">
        <v>99</v>
      </c>
      <c r="D11" s="7" t="s">
        <v>100</v>
      </c>
      <c r="E11" s="7" t="s">
        <v>101</v>
      </c>
      <c r="F11" s="7" t="s">
        <v>102</v>
      </c>
      <c r="G11" s="7" t="s">
        <v>18</v>
      </c>
      <c r="H11" s="7" t="s">
        <v>7</v>
      </c>
      <c r="I11" s="7" t="s">
        <v>103</v>
      </c>
      <c r="J11" s="7" t="s">
        <v>104</v>
      </c>
      <c r="K11" s="7" t="s">
        <v>73</v>
      </c>
      <c r="L11" s="7" t="s">
        <v>105</v>
      </c>
    </row>
    <row r="12" customFormat="false" ht="23.85" hidden="false" customHeight="false" outlineLevel="0" collapsed="false">
      <c r="A12" s="7" t="s">
        <v>106</v>
      </c>
      <c r="B12" s="7" t="s">
        <v>35</v>
      </c>
      <c r="C12" s="7" t="s">
        <v>107</v>
      </c>
      <c r="D12" s="7" t="s">
        <v>108</v>
      </c>
      <c r="E12" s="7" t="s">
        <v>109</v>
      </c>
      <c r="F12" s="7" t="s">
        <v>110</v>
      </c>
      <c r="G12" s="7" t="s">
        <v>18</v>
      </c>
      <c r="H12" s="7" t="s">
        <v>7</v>
      </c>
      <c r="I12" s="7" t="s">
        <v>111</v>
      </c>
      <c r="J12" s="7" t="s">
        <v>112</v>
      </c>
      <c r="K12" s="7" t="s">
        <v>113</v>
      </c>
      <c r="L12" s="7" t="s">
        <v>114</v>
      </c>
    </row>
    <row r="13" customFormat="false" ht="15" hidden="false" customHeight="false" outlineLevel="0" collapsed="false">
      <c r="A13" s="7" t="s">
        <v>115</v>
      </c>
      <c r="B13" s="7" t="s">
        <v>35</v>
      </c>
      <c r="C13" s="7" t="s">
        <v>116</v>
      </c>
      <c r="D13" s="7" t="s">
        <v>117</v>
      </c>
      <c r="E13" s="7" t="s">
        <v>109</v>
      </c>
      <c r="F13" s="7" t="s">
        <v>118</v>
      </c>
      <c r="G13" s="7" t="s">
        <v>18</v>
      </c>
      <c r="H13" s="7" t="s">
        <v>7</v>
      </c>
      <c r="I13" s="7" t="s">
        <v>111</v>
      </c>
      <c r="J13" s="7" t="s">
        <v>119</v>
      </c>
      <c r="K13" s="7" t="s">
        <v>120</v>
      </c>
      <c r="L13" s="7" t="s">
        <v>121</v>
      </c>
    </row>
    <row r="14" customFormat="false" ht="15" hidden="false" customHeight="false" outlineLevel="0" collapsed="false">
      <c r="A14" s="7" t="s">
        <v>122</v>
      </c>
      <c r="B14" s="7" t="s">
        <v>35</v>
      </c>
      <c r="C14" s="7" t="s">
        <v>123</v>
      </c>
      <c r="D14" s="7" t="s">
        <v>124</v>
      </c>
      <c r="E14" s="7" t="s">
        <v>125</v>
      </c>
      <c r="F14" s="7" t="s">
        <v>126</v>
      </c>
      <c r="G14" s="7" t="s">
        <v>18</v>
      </c>
      <c r="H14" s="7" t="s">
        <v>7</v>
      </c>
      <c r="I14" s="7" t="s">
        <v>127</v>
      </c>
      <c r="J14" s="7" t="s">
        <v>128</v>
      </c>
      <c r="K14" s="7" t="s">
        <v>73</v>
      </c>
      <c r="L14" s="7" t="s">
        <v>129</v>
      </c>
    </row>
    <row r="15" customFormat="false" ht="15" hidden="false" customHeight="false" outlineLevel="0" collapsed="false">
      <c r="A15" s="7" t="s">
        <v>130</v>
      </c>
      <c r="B15" s="7" t="s">
        <v>35</v>
      </c>
      <c r="C15" s="7" t="s">
        <v>131</v>
      </c>
      <c r="D15" s="7" t="s">
        <v>132</v>
      </c>
      <c r="E15" s="7" t="s">
        <v>125</v>
      </c>
      <c r="F15" s="7" t="s">
        <v>133</v>
      </c>
      <c r="G15" s="7" t="s">
        <v>18</v>
      </c>
      <c r="H15" s="7" t="s">
        <v>7</v>
      </c>
      <c r="I15" s="7" t="s">
        <v>134</v>
      </c>
      <c r="J15" s="7" t="s">
        <v>135</v>
      </c>
      <c r="K15" s="7" t="s">
        <v>73</v>
      </c>
      <c r="L15" s="7" t="s">
        <v>136</v>
      </c>
    </row>
    <row r="16" customFormat="false" ht="23.85" hidden="false" customHeight="false" outlineLevel="0" collapsed="false">
      <c r="A16" s="7" t="s">
        <v>137</v>
      </c>
      <c r="B16" s="7" t="s">
        <v>35</v>
      </c>
      <c r="C16" s="7" t="s">
        <v>138</v>
      </c>
      <c r="D16" s="7" t="s">
        <v>139</v>
      </c>
      <c r="E16" s="7" t="s">
        <v>125</v>
      </c>
      <c r="F16" s="7" t="s">
        <v>140</v>
      </c>
      <c r="G16" s="7" t="s">
        <v>19</v>
      </c>
      <c r="H16" s="7" t="s">
        <v>7</v>
      </c>
      <c r="I16" s="7" t="s">
        <v>141</v>
      </c>
      <c r="J16" s="7" t="s">
        <v>142</v>
      </c>
      <c r="K16" s="7" t="s">
        <v>143</v>
      </c>
      <c r="L16" s="7" t="s">
        <v>144</v>
      </c>
    </row>
    <row r="17" customFormat="false" ht="15" hidden="false" customHeight="false" outlineLevel="0" collapsed="false">
      <c r="A17" s="7" t="s">
        <v>145</v>
      </c>
      <c r="B17" s="7" t="s">
        <v>35</v>
      </c>
      <c r="C17" s="7" t="s">
        <v>146</v>
      </c>
      <c r="D17" s="7" t="s">
        <v>147</v>
      </c>
      <c r="E17" s="7" t="s">
        <v>148</v>
      </c>
      <c r="F17" s="7" t="s">
        <v>149</v>
      </c>
      <c r="G17" s="7" t="s">
        <v>19</v>
      </c>
      <c r="H17" s="7" t="s">
        <v>7</v>
      </c>
      <c r="I17" s="7" t="s">
        <v>111</v>
      </c>
      <c r="J17" s="7" t="s">
        <v>150</v>
      </c>
      <c r="K17" s="7" t="s">
        <v>143</v>
      </c>
      <c r="L17" s="7" t="s">
        <v>151</v>
      </c>
    </row>
    <row r="18" customFormat="false" ht="15" hidden="false" customHeight="false" outlineLevel="0" collapsed="false">
      <c r="A18" s="7" t="s">
        <v>152</v>
      </c>
      <c r="B18" s="7" t="s">
        <v>35</v>
      </c>
      <c r="C18" s="7" t="s">
        <v>153</v>
      </c>
      <c r="D18" s="7" t="s">
        <v>154</v>
      </c>
      <c r="E18" s="7" t="s">
        <v>125</v>
      </c>
      <c r="F18" s="7" t="s">
        <v>155</v>
      </c>
      <c r="G18" s="7" t="s">
        <v>18</v>
      </c>
      <c r="H18" s="7" t="s">
        <v>7</v>
      </c>
      <c r="I18" s="7" t="s">
        <v>95</v>
      </c>
      <c r="J18" s="7" t="s">
        <v>156</v>
      </c>
      <c r="K18" s="7" t="s">
        <v>73</v>
      </c>
      <c r="L18" s="7" t="s">
        <v>157</v>
      </c>
    </row>
    <row r="19" customFormat="false" ht="23.85" hidden="false" customHeight="false" outlineLevel="0" collapsed="false">
      <c r="A19" s="7" t="s">
        <v>158</v>
      </c>
      <c r="B19" s="7" t="s">
        <v>35</v>
      </c>
      <c r="C19" s="7" t="s">
        <v>159</v>
      </c>
      <c r="D19" s="7" t="s">
        <v>160</v>
      </c>
      <c r="E19" s="7" t="s">
        <v>125</v>
      </c>
      <c r="F19" s="7" t="s">
        <v>161</v>
      </c>
      <c r="G19" s="7" t="s">
        <v>18</v>
      </c>
      <c r="H19" s="7" t="s">
        <v>5</v>
      </c>
      <c r="I19" s="7" t="s">
        <v>162</v>
      </c>
      <c r="J19" s="7" t="s">
        <v>163</v>
      </c>
      <c r="K19" s="7" t="s">
        <v>164</v>
      </c>
      <c r="L19" s="7" t="s">
        <v>165</v>
      </c>
    </row>
    <row r="20" customFormat="false" ht="15" hidden="false" customHeight="false" outlineLevel="0" collapsed="false">
      <c r="A20" s="7" t="s">
        <v>166</v>
      </c>
      <c r="B20" s="7" t="s">
        <v>35</v>
      </c>
      <c r="C20" s="7" t="s">
        <v>167</v>
      </c>
      <c r="D20" s="7" t="s">
        <v>168</v>
      </c>
      <c r="E20" s="7" t="s">
        <v>148</v>
      </c>
      <c r="F20" s="7" t="s">
        <v>169</v>
      </c>
      <c r="G20" s="7" t="s">
        <v>18</v>
      </c>
      <c r="H20" s="7" t="s">
        <v>7</v>
      </c>
      <c r="I20" s="7" t="s">
        <v>170</v>
      </c>
      <c r="J20" s="7" t="s">
        <v>171</v>
      </c>
      <c r="K20" s="7" t="s">
        <v>73</v>
      </c>
      <c r="L20" s="7" t="s">
        <v>172</v>
      </c>
    </row>
    <row r="21" customFormat="false" ht="23.85" hidden="false" customHeight="false" outlineLevel="0" collapsed="false">
      <c r="A21" s="7" t="s">
        <v>173</v>
      </c>
      <c r="B21" s="7" t="s">
        <v>35</v>
      </c>
      <c r="C21" s="7" t="s">
        <v>174</v>
      </c>
      <c r="D21" s="7" t="s">
        <v>175</v>
      </c>
      <c r="E21" s="7" t="s">
        <v>176</v>
      </c>
      <c r="F21" s="7" t="s">
        <v>177</v>
      </c>
      <c r="G21" s="7" t="s">
        <v>19</v>
      </c>
      <c r="H21" s="7" t="s">
        <v>9</v>
      </c>
      <c r="I21" s="7" t="s">
        <v>178</v>
      </c>
      <c r="J21" s="7" t="s">
        <v>40</v>
      </c>
      <c r="K21" s="7" t="s">
        <v>40</v>
      </c>
      <c r="L21" s="7" t="s">
        <v>179</v>
      </c>
    </row>
    <row r="22" customFormat="false" ht="23.85" hidden="false" customHeight="false" outlineLevel="0" collapsed="false">
      <c r="A22" s="7" t="s">
        <v>180</v>
      </c>
      <c r="B22" s="7" t="s">
        <v>35</v>
      </c>
      <c r="C22" s="7" t="s">
        <v>181</v>
      </c>
      <c r="D22" s="7" t="s">
        <v>182</v>
      </c>
      <c r="E22" s="7" t="s">
        <v>125</v>
      </c>
      <c r="F22" s="7" t="s">
        <v>183</v>
      </c>
      <c r="G22" s="7" t="s">
        <v>18</v>
      </c>
      <c r="H22" s="7" t="s">
        <v>5</v>
      </c>
      <c r="I22" s="7" t="s">
        <v>170</v>
      </c>
      <c r="J22" s="7" t="s">
        <v>184</v>
      </c>
      <c r="K22" s="7" t="s">
        <v>164</v>
      </c>
      <c r="L22" s="7" t="s">
        <v>185</v>
      </c>
    </row>
    <row r="23" customFormat="false" ht="15" hidden="false" customHeight="false" outlineLevel="0" collapsed="false">
      <c r="A23" s="7" t="s">
        <v>186</v>
      </c>
      <c r="B23" s="7" t="s">
        <v>35</v>
      </c>
      <c r="C23" s="7" t="s">
        <v>187</v>
      </c>
      <c r="D23" s="7" t="s">
        <v>188</v>
      </c>
      <c r="E23" s="7" t="s">
        <v>148</v>
      </c>
      <c r="F23" s="7" t="s">
        <v>189</v>
      </c>
      <c r="G23" s="7" t="s">
        <v>19</v>
      </c>
      <c r="H23" s="7" t="s">
        <v>7</v>
      </c>
      <c r="I23" s="7" t="s">
        <v>190</v>
      </c>
      <c r="J23" s="7" t="s">
        <v>191</v>
      </c>
      <c r="K23" s="7" t="s">
        <v>143</v>
      </c>
      <c r="L23" s="7" t="s">
        <v>192</v>
      </c>
    </row>
    <row r="24" customFormat="false" ht="23.85" hidden="false" customHeight="false" outlineLevel="0" collapsed="false">
      <c r="A24" s="7" t="s">
        <v>193</v>
      </c>
      <c r="B24" s="7" t="s">
        <v>35</v>
      </c>
      <c r="C24" s="7" t="s">
        <v>194</v>
      </c>
      <c r="D24" s="7" t="s">
        <v>195</v>
      </c>
      <c r="E24" s="7" t="s">
        <v>196</v>
      </c>
      <c r="F24" s="7" t="s">
        <v>197</v>
      </c>
      <c r="G24" s="7" t="s">
        <v>18</v>
      </c>
      <c r="H24" s="7" t="s">
        <v>5</v>
      </c>
      <c r="I24" s="7" t="s">
        <v>198</v>
      </c>
      <c r="J24" s="7" t="s">
        <v>199</v>
      </c>
      <c r="K24" s="7" t="s">
        <v>200</v>
      </c>
      <c r="L24" s="7" t="s">
        <v>201</v>
      </c>
    </row>
    <row r="25" customFormat="false" ht="15" hidden="false" customHeight="false" outlineLevel="0" collapsed="false">
      <c r="A25" s="7" t="s">
        <v>202</v>
      </c>
      <c r="B25" s="7" t="s">
        <v>35</v>
      </c>
      <c r="C25" s="7" t="s">
        <v>203</v>
      </c>
      <c r="D25" s="7" t="s">
        <v>204</v>
      </c>
      <c r="E25" s="7" t="s">
        <v>148</v>
      </c>
      <c r="F25" s="7" t="s">
        <v>205</v>
      </c>
      <c r="G25" s="7" t="s">
        <v>18</v>
      </c>
      <c r="H25" s="7" t="s">
        <v>7</v>
      </c>
      <c r="I25" s="7" t="s">
        <v>170</v>
      </c>
      <c r="J25" s="7" t="s">
        <v>206</v>
      </c>
      <c r="K25" s="7" t="s">
        <v>73</v>
      </c>
      <c r="L25" s="7" t="s">
        <v>207</v>
      </c>
    </row>
    <row r="26" customFormat="false" ht="15" hidden="false" customHeight="false" outlineLevel="0" collapsed="false">
      <c r="A26" s="7" t="s">
        <v>208</v>
      </c>
      <c r="B26" s="7" t="s">
        <v>35</v>
      </c>
      <c r="C26" s="7" t="s">
        <v>209</v>
      </c>
      <c r="D26" s="7" t="s">
        <v>210</v>
      </c>
      <c r="E26" s="7" t="s">
        <v>109</v>
      </c>
      <c r="F26" s="7" t="s">
        <v>211</v>
      </c>
      <c r="G26" s="7" t="s">
        <v>17</v>
      </c>
      <c r="H26" s="7" t="s">
        <v>5</v>
      </c>
      <c r="I26" s="7" t="s">
        <v>190</v>
      </c>
      <c r="J26" s="7" t="s">
        <v>212</v>
      </c>
      <c r="K26" s="7" t="s">
        <v>213</v>
      </c>
      <c r="L26" s="7" t="s">
        <v>214</v>
      </c>
    </row>
    <row r="27" customFormat="false" ht="15" hidden="false" customHeight="false" outlineLevel="0" collapsed="false">
      <c r="A27" s="7" t="s">
        <v>215</v>
      </c>
      <c r="B27" s="7" t="s">
        <v>35</v>
      </c>
      <c r="C27" s="7" t="s">
        <v>216</v>
      </c>
      <c r="D27" s="7" t="s">
        <v>217</v>
      </c>
      <c r="E27" s="7" t="s">
        <v>218</v>
      </c>
      <c r="F27" s="7" t="s">
        <v>219</v>
      </c>
      <c r="G27" s="7" t="s">
        <v>18</v>
      </c>
      <c r="H27" s="7" t="s">
        <v>5</v>
      </c>
      <c r="I27" s="7" t="s">
        <v>220</v>
      </c>
      <c r="J27" s="7" t="s">
        <v>221</v>
      </c>
      <c r="K27" s="7" t="s">
        <v>200</v>
      </c>
      <c r="L27" s="7" t="s">
        <v>222</v>
      </c>
    </row>
    <row r="28" customFormat="false" ht="23.85" hidden="false" customHeight="false" outlineLevel="0" collapsed="false">
      <c r="A28" s="7" t="s">
        <v>223</v>
      </c>
      <c r="B28" s="7" t="s">
        <v>35</v>
      </c>
      <c r="C28" s="7" t="s">
        <v>224</v>
      </c>
      <c r="D28" s="7" t="s">
        <v>225</v>
      </c>
      <c r="E28" s="7" t="s">
        <v>148</v>
      </c>
      <c r="F28" s="7" t="s">
        <v>226</v>
      </c>
      <c r="G28" s="7" t="s">
        <v>18</v>
      </c>
      <c r="H28" s="7" t="s">
        <v>7</v>
      </c>
      <c r="I28" s="7" t="s">
        <v>227</v>
      </c>
      <c r="J28" s="7" t="s">
        <v>228</v>
      </c>
      <c r="K28" s="7" t="s">
        <v>73</v>
      </c>
      <c r="L28" s="7"/>
    </row>
    <row r="29" customFormat="false" ht="15" hidden="false" customHeight="false" outlineLevel="0" collapsed="false">
      <c r="A29" s="7" t="s">
        <v>229</v>
      </c>
      <c r="B29" s="7" t="s">
        <v>35</v>
      </c>
      <c r="C29" s="7" t="s">
        <v>230</v>
      </c>
      <c r="D29" s="7" t="s">
        <v>231</v>
      </c>
      <c r="E29" s="7" t="s">
        <v>109</v>
      </c>
      <c r="F29" s="7" t="s">
        <v>232</v>
      </c>
      <c r="G29" s="7" t="s">
        <v>17</v>
      </c>
      <c r="H29" s="7" t="s">
        <v>5</v>
      </c>
      <c r="I29" s="7" t="s">
        <v>227</v>
      </c>
      <c r="J29" s="7" t="s">
        <v>233</v>
      </c>
      <c r="K29" s="7" t="s">
        <v>213</v>
      </c>
      <c r="L29" s="7" t="s">
        <v>234</v>
      </c>
    </row>
    <row r="30" customFormat="false" ht="15" hidden="false" customHeight="false" outlineLevel="0" collapsed="false">
      <c r="A30" s="7" t="s">
        <v>235</v>
      </c>
      <c r="B30" s="7" t="s">
        <v>35</v>
      </c>
      <c r="C30" s="7" t="s">
        <v>236</v>
      </c>
      <c r="D30" s="7" t="s">
        <v>237</v>
      </c>
      <c r="E30" s="7" t="s">
        <v>58</v>
      </c>
      <c r="F30" s="7" t="s">
        <v>64</v>
      </c>
      <c r="G30" s="7" t="s">
        <v>19</v>
      </c>
      <c r="H30" s="7" t="s">
        <v>11</v>
      </c>
      <c r="I30" s="7" t="s">
        <v>40</v>
      </c>
      <c r="J30" s="7" t="s">
        <v>40</v>
      </c>
      <c r="K30" s="7" t="s">
        <v>40</v>
      </c>
      <c r="L30" s="7"/>
    </row>
    <row r="31" customFormat="false" ht="23.85" hidden="false" customHeight="false" outlineLevel="0" collapsed="false">
      <c r="A31" s="7" t="s">
        <v>238</v>
      </c>
      <c r="B31" s="7" t="s">
        <v>35</v>
      </c>
      <c r="C31" s="7" t="s">
        <v>239</v>
      </c>
      <c r="D31" s="7" t="s">
        <v>240</v>
      </c>
      <c r="E31" s="7" t="s">
        <v>196</v>
      </c>
      <c r="F31" s="7" t="s">
        <v>241</v>
      </c>
      <c r="G31" s="7" t="s">
        <v>18</v>
      </c>
      <c r="H31" s="7" t="s">
        <v>7</v>
      </c>
      <c r="I31" s="7" t="s">
        <v>242</v>
      </c>
      <c r="J31" s="7" t="s">
        <v>243</v>
      </c>
      <c r="K31" s="7" t="s">
        <v>244</v>
      </c>
      <c r="L31" s="7" t="s">
        <v>245</v>
      </c>
    </row>
    <row r="32" customFormat="false" ht="23.85" hidden="false" customHeight="false" outlineLevel="0" collapsed="false">
      <c r="A32" s="7" t="s">
        <v>246</v>
      </c>
      <c r="B32" s="7" t="s">
        <v>35</v>
      </c>
      <c r="C32" s="7" t="s">
        <v>247</v>
      </c>
      <c r="D32" s="7" t="s">
        <v>248</v>
      </c>
      <c r="E32" s="7" t="s">
        <v>196</v>
      </c>
      <c r="F32" s="7" t="s">
        <v>249</v>
      </c>
      <c r="G32" s="7" t="s">
        <v>18</v>
      </c>
      <c r="H32" s="7" t="s">
        <v>7</v>
      </c>
      <c r="I32" s="7" t="s">
        <v>242</v>
      </c>
      <c r="J32" s="7" t="s">
        <v>250</v>
      </c>
      <c r="K32" s="7" t="s">
        <v>244</v>
      </c>
      <c r="L32" s="7"/>
    </row>
    <row r="33" customFormat="false" ht="15" hidden="false" customHeight="false" outlineLevel="0" collapsed="false">
      <c r="A33" s="7" t="s">
        <v>251</v>
      </c>
      <c r="B33" s="7" t="s">
        <v>35</v>
      </c>
      <c r="C33" s="7" t="s">
        <v>252</v>
      </c>
      <c r="D33" s="7" t="s">
        <v>253</v>
      </c>
      <c r="E33" s="7" t="s">
        <v>196</v>
      </c>
      <c r="F33" s="7" t="s">
        <v>40</v>
      </c>
      <c r="G33" s="7" t="s">
        <v>18</v>
      </c>
      <c r="H33" s="7" t="s">
        <v>7</v>
      </c>
      <c r="I33" s="7" t="s">
        <v>242</v>
      </c>
      <c r="J33" s="7" t="s">
        <v>254</v>
      </c>
      <c r="K33" s="7" t="s">
        <v>244</v>
      </c>
      <c r="L33" s="7"/>
    </row>
    <row r="34" customFormat="false" ht="15" hidden="false" customHeight="false" outlineLevel="0" collapsed="false">
      <c r="A34" s="7" t="s">
        <v>255</v>
      </c>
      <c r="B34" s="7" t="s">
        <v>35</v>
      </c>
      <c r="C34" s="7" t="s">
        <v>256</v>
      </c>
      <c r="D34" s="7" t="s">
        <v>257</v>
      </c>
      <c r="E34" s="7" t="s">
        <v>196</v>
      </c>
      <c r="F34" s="7" t="s">
        <v>258</v>
      </c>
      <c r="G34" s="7" t="s">
        <v>18</v>
      </c>
      <c r="H34" s="7" t="s">
        <v>7</v>
      </c>
      <c r="I34" s="7" t="s">
        <v>242</v>
      </c>
      <c r="J34" s="7" t="s">
        <v>259</v>
      </c>
      <c r="K34" s="7" t="s">
        <v>244</v>
      </c>
      <c r="L34" s="7"/>
    </row>
    <row r="35" customFormat="false" ht="15" hidden="false" customHeight="false" outlineLevel="0" collapsed="false">
      <c r="A35" s="7" t="s">
        <v>260</v>
      </c>
      <c r="B35" s="7" t="s">
        <v>35</v>
      </c>
      <c r="C35" s="7" t="s">
        <v>261</v>
      </c>
      <c r="D35" s="7" t="s">
        <v>262</v>
      </c>
      <c r="E35" s="7" t="s">
        <v>196</v>
      </c>
      <c r="F35" s="7" t="s">
        <v>263</v>
      </c>
      <c r="G35" s="7" t="s">
        <v>18</v>
      </c>
      <c r="H35" s="7" t="s">
        <v>7</v>
      </c>
      <c r="I35" s="7" t="s">
        <v>242</v>
      </c>
      <c r="J35" s="7" t="s">
        <v>264</v>
      </c>
      <c r="K35" s="7" t="s">
        <v>244</v>
      </c>
      <c r="L35" s="7" t="s">
        <v>265</v>
      </c>
    </row>
    <row r="36" customFormat="false" ht="15" hidden="false" customHeight="false" outlineLevel="0" collapsed="false">
      <c r="A36" s="7" t="s">
        <v>266</v>
      </c>
      <c r="B36" s="7" t="s">
        <v>35</v>
      </c>
      <c r="C36" s="7" t="s">
        <v>267</v>
      </c>
      <c r="D36" s="7" t="s">
        <v>268</v>
      </c>
      <c r="E36" s="7" t="s">
        <v>58</v>
      </c>
      <c r="F36" s="7" t="s">
        <v>269</v>
      </c>
      <c r="G36" s="7" t="s">
        <v>19</v>
      </c>
      <c r="H36" s="7" t="s">
        <v>11</v>
      </c>
      <c r="I36" s="7" t="s">
        <v>40</v>
      </c>
      <c r="J36" s="7" t="s">
        <v>40</v>
      </c>
      <c r="K36" s="7" t="s">
        <v>40</v>
      </c>
      <c r="L36" s="7"/>
    </row>
    <row r="37" customFormat="false" ht="15" hidden="false" customHeight="false" outlineLevel="0" collapsed="false">
      <c r="A37" s="7" t="s">
        <v>270</v>
      </c>
      <c r="B37" s="7" t="s">
        <v>35</v>
      </c>
      <c r="C37" s="7" t="s">
        <v>271</v>
      </c>
      <c r="D37" s="7" t="s">
        <v>272</v>
      </c>
      <c r="E37" s="7" t="s">
        <v>125</v>
      </c>
      <c r="F37" s="7" t="s">
        <v>273</v>
      </c>
      <c r="G37" s="7" t="s">
        <v>18</v>
      </c>
      <c r="H37" s="7" t="s">
        <v>5</v>
      </c>
      <c r="I37" s="7" t="s">
        <v>274</v>
      </c>
      <c r="J37" s="7" t="s">
        <v>275</v>
      </c>
      <c r="K37" s="7" t="s">
        <v>200</v>
      </c>
      <c r="L37" s="7" t="s">
        <v>276</v>
      </c>
    </row>
    <row r="38" customFormat="false" ht="15" hidden="false" customHeight="false" outlineLevel="0" collapsed="false">
      <c r="A38" s="7" t="s">
        <v>277</v>
      </c>
      <c r="B38" s="7" t="s">
        <v>35</v>
      </c>
      <c r="C38" s="7" t="s">
        <v>278</v>
      </c>
      <c r="D38" s="7" t="s">
        <v>279</v>
      </c>
      <c r="E38" s="7" t="s">
        <v>109</v>
      </c>
      <c r="F38" s="7" t="s">
        <v>280</v>
      </c>
      <c r="G38" s="7" t="s">
        <v>18</v>
      </c>
      <c r="H38" s="7" t="s">
        <v>5</v>
      </c>
      <c r="I38" s="7" t="s">
        <v>274</v>
      </c>
      <c r="J38" s="7" t="s">
        <v>281</v>
      </c>
      <c r="K38" s="7" t="s">
        <v>213</v>
      </c>
      <c r="L38" s="7" t="s">
        <v>282</v>
      </c>
    </row>
    <row r="39" customFormat="false" ht="23.85" hidden="false" customHeight="false" outlineLevel="0" collapsed="false">
      <c r="A39" s="7" t="s">
        <v>283</v>
      </c>
      <c r="B39" s="7" t="s">
        <v>35</v>
      </c>
      <c r="C39" s="7" t="s">
        <v>284</v>
      </c>
      <c r="D39" s="7" t="s">
        <v>285</v>
      </c>
      <c r="E39" s="7" t="s">
        <v>125</v>
      </c>
      <c r="F39" s="7" t="s">
        <v>286</v>
      </c>
      <c r="G39" s="7" t="s">
        <v>18</v>
      </c>
      <c r="H39" s="7" t="s">
        <v>5</v>
      </c>
      <c r="I39" s="7" t="s">
        <v>287</v>
      </c>
      <c r="J39" s="7" t="s">
        <v>288</v>
      </c>
      <c r="K39" s="7" t="s">
        <v>200</v>
      </c>
      <c r="L39" s="7" t="s">
        <v>289</v>
      </c>
    </row>
    <row r="40" customFormat="false" ht="23.85" hidden="false" customHeight="false" outlineLevel="0" collapsed="false">
      <c r="A40" s="7" t="s">
        <v>290</v>
      </c>
      <c r="B40" s="7" t="s">
        <v>35</v>
      </c>
      <c r="C40" s="7" t="s">
        <v>291</v>
      </c>
      <c r="D40" s="7" t="s">
        <v>292</v>
      </c>
      <c r="E40" s="7" t="s">
        <v>109</v>
      </c>
      <c r="F40" s="7" t="s">
        <v>293</v>
      </c>
      <c r="G40" s="7" t="s">
        <v>17</v>
      </c>
      <c r="H40" s="7" t="s">
        <v>5</v>
      </c>
      <c r="I40" s="7" t="s">
        <v>294</v>
      </c>
      <c r="J40" s="7" t="s">
        <v>295</v>
      </c>
      <c r="K40" s="7" t="s">
        <v>213</v>
      </c>
      <c r="L40" s="7" t="s">
        <v>296</v>
      </c>
    </row>
    <row r="41" customFormat="false" ht="23.85" hidden="false" customHeight="false" outlineLevel="0" collapsed="false">
      <c r="A41" s="7" t="s">
        <v>297</v>
      </c>
      <c r="B41" s="7" t="s">
        <v>35</v>
      </c>
      <c r="C41" s="7" t="s">
        <v>298</v>
      </c>
      <c r="D41" s="7" t="s">
        <v>299</v>
      </c>
      <c r="E41" s="7" t="s">
        <v>148</v>
      </c>
      <c r="F41" s="7" t="s">
        <v>300</v>
      </c>
      <c r="G41" s="7" t="s">
        <v>19</v>
      </c>
      <c r="H41" s="7" t="s">
        <v>7</v>
      </c>
      <c r="I41" s="7" t="s">
        <v>294</v>
      </c>
      <c r="J41" s="7" t="s">
        <v>301</v>
      </c>
      <c r="K41" s="7" t="s">
        <v>143</v>
      </c>
      <c r="L41" s="7" t="s">
        <v>302</v>
      </c>
    </row>
    <row r="42" customFormat="false" ht="23.85" hidden="false" customHeight="false" outlineLevel="0" collapsed="false">
      <c r="A42" s="7" t="s">
        <v>303</v>
      </c>
      <c r="B42" s="7" t="s">
        <v>35</v>
      </c>
      <c r="C42" s="7" t="s">
        <v>304</v>
      </c>
      <c r="D42" s="7" t="s">
        <v>305</v>
      </c>
      <c r="E42" s="7" t="s">
        <v>306</v>
      </c>
      <c r="F42" s="7" t="s">
        <v>307</v>
      </c>
      <c r="G42" s="7" t="s">
        <v>18</v>
      </c>
      <c r="H42" s="7" t="s">
        <v>5</v>
      </c>
      <c r="I42" s="7" t="s">
        <v>308</v>
      </c>
      <c r="J42" s="7" t="s">
        <v>309</v>
      </c>
      <c r="K42" s="7" t="s">
        <v>200</v>
      </c>
      <c r="L42" s="7" t="s">
        <v>310</v>
      </c>
    </row>
    <row r="43" customFormat="false" ht="23.85" hidden="false" customHeight="false" outlineLevel="0" collapsed="false">
      <c r="A43" s="7" t="s">
        <v>311</v>
      </c>
      <c r="B43" s="7" t="s">
        <v>35</v>
      </c>
      <c r="C43" s="7" t="s">
        <v>312</v>
      </c>
      <c r="D43" s="7" t="s">
        <v>313</v>
      </c>
      <c r="E43" s="7" t="s">
        <v>125</v>
      </c>
      <c r="F43" s="7" t="s">
        <v>314</v>
      </c>
      <c r="G43" s="7" t="s">
        <v>18</v>
      </c>
      <c r="H43" s="7" t="s">
        <v>7</v>
      </c>
      <c r="I43" s="7" t="s">
        <v>315</v>
      </c>
      <c r="J43" s="7" t="s">
        <v>316</v>
      </c>
      <c r="K43" s="7" t="s">
        <v>73</v>
      </c>
      <c r="L43" s="7" t="s">
        <v>317</v>
      </c>
    </row>
    <row r="44" customFormat="false" ht="15" hidden="false" customHeight="false" outlineLevel="0" collapsed="false">
      <c r="A44" s="7" t="s">
        <v>318</v>
      </c>
      <c r="B44" s="7" t="s">
        <v>35</v>
      </c>
      <c r="C44" s="7" t="s">
        <v>319</v>
      </c>
      <c r="D44" s="7" t="s">
        <v>320</v>
      </c>
      <c r="E44" s="7" t="s">
        <v>148</v>
      </c>
      <c r="F44" s="7" t="s">
        <v>321</v>
      </c>
      <c r="G44" s="7" t="s">
        <v>19</v>
      </c>
      <c r="H44" s="7" t="s">
        <v>11</v>
      </c>
      <c r="I44" s="7" t="s">
        <v>40</v>
      </c>
      <c r="J44" s="7" t="s">
        <v>40</v>
      </c>
      <c r="K44" s="7" t="s">
        <v>322</v>
      </c>
      <c r="L44" s="7" t="s">
        <v>323</v>
      </c>
    </row>
    <row r="45" customFormat="false" ht="23.85" hidden="false" customHeight="false" outlineLevel="0" collapsed="false">
      <c r="A45" s="7" t="s">
        <v>324</v>
      </c>
      <c r="B45" s="7" t="s">
        <v>35</v>
      </c>
      <c r="C45" s="7" t="s">
        <v>325</v>
      </c>
      <c r="D45" s="7" t="s">
        <v>326</v>
      </c>
      <c r="E45" s="7" t="s">
        <v>306</v>
      </c>
      <c r="F45" s="7" t="s">
        <v>327</v>
      </c>
      <c r="G45" s="7" t="s">
        <v>18</v>
      </c>
      <c r="H45" s="7" t="s">
        <v>5</v>
      </c>
      <c r="I45" s="7" t="s">
        <v>315</v>
      </c>
      <c r="J45" s="7" t="s">
        <v>328</v>
      </c>
      <c r="K45" s="7" t="s">
        <v>213</v>
      </c>
      <c r="L45" s="7"/>
    </row>
    <row r="46" customFormat="false" ht="15" hidden="false" customHeight="false" outlineLevel="0" collapsed="false">
      <c r="A46" s="7" t="s">
        <v>329</v>
      </c>
      <c r="B46" s="7" t="s">
        <v>35</v>
      </c>
      <c r="C46" s="7" t="s">
        <v>330</v>
      </c>
      <c r="D46" s="7" t="s">
        <v>331</v>
      </c>
      <c r="E46" s="7" t="s">
        <v>332</v>
      </c>
      <c r="F46" s="7" t="s">
        <v>333</v>
      </c>
      <c r="G46" s="7" t="s">
        <v>19</v>
      </c>
      <c r="H46" s="7" t="s">
        <v>11</v>
      </c>
      <c r="I46" s="7" t="s">
        <v>40</v>
      </c>
      <c r="J46" s="7" t="s">
        <v>40</v>
      </c>
      <c r="K46" s="7" t="s">
        <v>40</v>
      </c>
      <c r="L46" s="7" t="s">
        <v>334</v>
      </c>
    </row>
    <row r="47" customFormat="false" ht="23.85" hidden="false" customHeight="false" outlineLevel="0" collapsed="false">
      <c r="A47" s="7" t="s">
        <v>335</v>
      </c>
      <c r="B47" s="7" t="s">
        <v>35</v>
      </c>
      <c r="C47" s="7" t="s">
        <v>336</v>
      </c>
      <c r="D47" s="7" t="s">
        <v>337</v>
      </c>
      <c r="E47" s="7" t="s">
        <v>125</v>
      </c>
      <c r="F47" s="7" t="s">
        <v>338</v>
      </c>
      <c r="G47" s="7" t="s">
        <v>18</v>
      </c>
      <c r="H47" s="7" t="s">
        <v>7</v>
      </c>
      <c r="I47" s="7" t="s">
        <v>339</v>
      </c>
      <c r="J47" s="7" t="s">
        <v>340</v>
      </c>
      <c r="K47" s="7" t="s">
        <v>73</v>
      </c>
      <c r="L47" s="7" t="s">
        <v>341</v>
      </c>
    </row>
    <row r="48" customFormat="false" ht="23.85" hidden="false" customHeight="false" outlineLevel="0" collapsed="false">
      <c r="A48" s="7" t="s">
        <v>342</v>
      </c>
      <c r="B48" s="7" t="s">
        <v>35</v>
      </c>
      <c r="C48" s="7" t="s">
        <v>343</v>
      </c>
      <c r="D48" s="7" t="s">
        <v>344</v>
      </c>
      <c r="E48" s="7" t="s">
        <v>109</v>
      </c>
      <c r="F48" s="7" t="s">
        <v>345</v>
      </c>
      <c r="G48" s="7" t="s">
        <v>17</v>
      </c>
      <c r="H48" s="7" t="s">
        <v>5</v>
      </c>
      <c r="I48" s="7" t="s">
        <v>346</v>
      </c>
      <c r="J48" s="7" t="s">
        <v>347</v>
      </c>
      <c r="K48" s="7" t="s">
        <v>213</v>
      </c>
      <c r="L48" s="7" t="s">
        <v>348</v>
      </c>
    </row>
    <row r="49" customFormat="false" ht="15" hidden="false" customHeight="false" outlineLevel="0" collapsed="false">
      <c r="A49" s="7" t="s">
        <v>349</v>
      </c>
      <c r="B49" s="7" t="s">
        <v>35</v>
      </c>
      <c r="C49" s="7" t="s">
        <v>350</v>
      </c>
      <c r="D49" s="7" t="s">
        <v>351</v>
      </c>
      <c r="E49" s="7" t="s">
        <v>52</v>
      </c>
      <c r="F49" s="7" t="s">
        <v>40</v>
      </c>
      <c r="G49" s="7" t="s">
        <v>20</v>
      </c>
      <c r="H49" s="7" t="s">
        <v>9</v>
      </c>
      <c r="I49" s="7" t="s">
        <v>352</v>
      </c>
      <c r="J49" s="7" t="s">
        <v>40</v>
      </c>
      <c r="K49" s="7" t="s">
        <v>40</v>
      </c>
      <c r="L49" s="7" t="s">
        <v>353</v>
      </c>
    </row>
    <row r="50" customFormat="false" ht="23.85" hidden="false" customHeight="false" outlineLevel="0" collapsed="false">
      <c r="A50" s="7" t="s">
        <v>354</v>
      </c>
      <c r="B50" s="7" t="s">
        <v>35</v>
      </c>
      <c r="C50" s="7" t="s">
        <v>355</v>
      </c>
      <c r="D50" s="7" t="s">
        <v>356</v>
      </c>
      <c r="E50" s="7" t="s">
        <v>148</v>
      </c>
      <c r="F50" s="7" t="s">
        <v>357</v>
      </c>
      <c r="G50" s="7" t="s">
        <v>18</v>
      </c>
      <c r="H50" s="7" t="s">
        <v>5</v>
      </c>
      <c r="I50" s="7" t="s">
        <v>346</v>
      </c>
      <c r="J50" s="7" t="s">
        <v>358</v>
      </c>
      <c r="K50" s="7" t="s">
        <v>200</v>
      </c>
      <c r="L50" s="7"/>
    </row>
    <row r="51" customFormat="false" ht="23.85" hidden="false" customHeight="false" outlineLevel="0" collapsed="false">
      <c r="A51" s="7" t="s">
        <v>359</v>
      </c>
      <c r="B51" s="7" t="s">
        <v>35</v>
      </c>
      <c r="C51" s="7" t="s">
        <v>360</v>
      </c>
      <c r="D51" s="7" t="s">
        <v>361</v>
      </c>
      <c r="E51" s="7" t="s">
        <v>148</v>
      </c>
      <c r="F51" s="7" t="s">
        <v>362</v>
      </c>
      <c r="G51" s="7" t="s">
        <v>18</v>
      </c>
      <c r="H51" s="7" t="s">
        <v>5</v>
      </c>
      <c r="I51" s="7" t="s">
        <v>346</v>
      </c>
      <c r="J51" s="7" t="s">
        <v>363</v>
      </c>
      <c r="K51" s="7" t="s">
        <v>200</v>
      </c>
      <c r="L51" s="7"/>
    </row>
    <row r="52" customFormat="false" ht="23.85" hidden="false" customHeight="false" outlineLevel="0" collapsed="false">
      <c r="A52" s="7" t="s">
        <v>364</v>
      </c>
      <c r="B52" s="7" t="s">
        <v>35</v>
      </c>
      <c r="C52" s="7" t="s">
        <v>365</v>
      </c>
      <c r="D52" s="7" t="s">
        <v>366</v>
      </c>
      <c r="E52" s="7" t="s">
        <v>148</v>
      </c>
      <c r="F52" s="7" t="s">
        <v>367</v>
      </c>
      <c r="G52" s="7" t="s">
        <v>18</v>
      </c>
      <c r="H52" s="7" t="s">
        <v>5</v>
      </c>
      <c r="I52" s="7" t="s">
        <v>346</v>
      </c>
      <c r="J52" s="7" t="s">
        <v>368</v>
      </c>
      <c r="K52" s="7" t="s">
        <v>200</v>
      </c>
      <c r="L52" s="7"/>
    </row>
    <row r="53" customFormat="false" ht="15" hidden="false" customHeight="false" outlineLevel="0" collapsed="false">
      <c r="A53" s="7" t="s">
        <v>369</v>
      </c>
      <c r="B53" s="7" t="s">
        <v>35</v>
      </c>
      <c r="C53" s="7" t="s">
        <v>370</v>
      </c>
      <c r="D53" s="7" t="s">
        <v>371</v>
      </c>
      <c r="E53" s="7" t="s">
        <v>148</v>
      </c>
      <c r="F53" s="7" t="s">
        <v>372</v>
      </c>
      <c r="G53" s="7" t="s">
        <v>17</v>
      </c>
      <c r="H53" s="7" t="s">
        <v>5</v>
      </c>
      <c r="I53" s="7" t="s">
        <v>373</v>
      </c>
      <c r="J53" s="7" t="s">
        <v>374</v>
      </c>
      <c r="K53" s="7" t="s">
        <v>164</v>
      </c>
      <c r="L53" s="7" t="s">
        <v>375</v>
      </c>
    </row>
    <row r="54" customFormat="false" ht="15" hidden="false" customHeight="false" outlineLevel="0" collapsed="false">
      <c r="A54" s="7" t="s">
        <v>376</v>
      </c>
      <c r="B54" s="7" t="s">
        <v>35</v>
      </c>
      <c r="C54" s="7" t="s">
        <v>377</v>
      </c>
      <c r="D54" s="7" t="s">
        <v>378</v>
      </c>
      <c r="E54" s="7" t="s">
        <v>125</v>
      </c>
      <c r="F54" s="7" t="s">
        <v>379</v>
      </c>
      <c r="G54" s="7" t="s">
        <v>17</v>
      </c>
      <c r="H54" s="7" t="s">
        <v>5</v>
      </c>
      <c r="I54" s="7" t="s">
        <v>373</v>
      </c>
      <c r="J54" s="7" t="s">
        <v>380</v>
      </c>
      <c r="K54" s="7" t="s">
        <v>200</v>
      </c>
      <c r="L54" s="7"/>
    </row>
    <row r="55" customFormat="false" ht="15" hidden="false" customHeight="false" outlineLevel="0" collapsed="false">
      <c r="A55" s="7" t="s">
        <v>381</v>
      </c>
      <c r="B55" s="7" t="s">
        <v>35</v>
      </c>
      <c r="C55" s="7" t="s">
        <v>382</v>
      </c>
      <c r="D55" s="7" t="s">
        <v>383</v>
      </c>
      <c r="E55" s="7" t="s">
        <v>125</v>
      </c>
      <c r="F55" s="7" t="s">
        <v>379</v>
      </c>
      <c r="G55" s="7" t="s">
        <v>17</v>
      </c>
      <c r="H55" s="7" t="s">
        <v>5</v>
      </c>
      <c r="I55" s="7" t="s">
        <v>373</v>
      </c>
      <c r="J55" s="7" t="s">
        <v>384</v>
      </c>
      <c r="K55" s="7" t="s">
        <v>200</v>
      </c>
      <c r="L55" s="7"/>
    </row>
    <row r="56" customFormat="false" ht="23.85" hidden="false" customHeight="false" outlineLevel="0" collapsed="false">
      <c r="A56" s="7" t="s">
        <v>385</v>
      </c>
      <c r="B56" s="7" t="s">
        <v>35</v>
      </c>
      <c r="C56" s="7" t="s">
        <v>386</v>
      </c>
      <c r="D56" s="7" t="s">
        <v>387</v>
      </c>
      <c r="E56" s="7" t="s">
        <v>125</v>
      </c>
      <c r="F56" s="7" t="s">
        <v>388</v>
      </c>
      <c r="G56" s="7" t="s">
        <v>17</v>
      </c>
      <c r="H56" s="7" t="s">
        <v>5</v>
      </c>
      <c r="I56" s="7" t="s">
        <v>373</v>
      </c>
      <c r="J56" s="7" t="s">
        <v>389</v>
      </c>
      <c r="K56" s="7" t="s">
        <v>200</v>
      </c>
      <c r="L56" s="7" t="s">
        <v>390</v>
      </c>
    </row>
    <row r="57" customFormat="false" ht="15" hidden="false" customHeight="false" outlineLevel="0" collapsed="false">
      <c r="A57" s="7" t="s">
        <v>391</v>
      </c>
      <c r="B57" s="7" t="s">
        <v>35</v>
      </c>
      <c r="C57" s="7" t="s">
        <v>392</v>
      </c>
      <c r="D57" s="7" t="s">
        <v>393</v>
      </c>
      <c r="E57" s="7" t="s">
        <v>125</v>
      </c>
      <c r="F57" s="7" t="s">
        <v>394</v>
      </c>
      <c r="G57" s="7" t="s">
        <v>17</v>
      </c>
      <c r="H57" s="7" t="s">
        <v>5</v>
      </c>
      <c r="I57" s="7" t="s">
        <v>373</v>
      </c>
      <c r="J57" s="7" t="s">
        <v>395</v>
      </c>
      <c r="K57" s="7" t="s">
        <v>200</v>
      </c>
      <c r="L57" s="7"/>
    </row>
    <row r="58" customFormat="false" ht="15" hidden="false" customHeight="false" outlineLevel="0" collapsed="false">
      <c r="A58" s="7" t="s">
        <v>396</v>
      </c>
      <c r="B58" s="7" t="s">
        <v>35</v>
      </c>
      <c r="C58" s="7" t="s">
        <v>397</v>
      </c>
      <c r="D58" s="7" t="s">
        <v>398</v>
      </c>
      <c r="E58" s="7" t="s">
        <v>148</v>
      </c>
      <c r="F58" s="7" t="s">
        <v>399</v>
      </c>
      <c r="G58" s="7" t="s">
        <v>17</v>
      </c>
      <c r="H58" s="7" t="s">
        <v>5</v>
      </c>
      <c r="I58" s="7" t="s">
        <v>373</v>
      </c>
      <c r="J58" s="7" t="s">
        <v>400</v>
      </c>
      <c r="K58" s="7" t="s">
        <v>200</v>
      </c>
      <c r="L58" s="7" t="s">
        <v>401</v>
      </c>
    </row>
    <row r="59" customFormat="false" ht="15" hidden="false" customHeight="false" outlineLevel="0" collapsed="false">
      <c r="A59" s="7" t="s">
        <v>402</v>
      </c>
      <c r="B59" s="7" t="s">
        <v>35</v>
      </c>
      <c r="C59" s="7" t="s">
        <v>403</v>
      </c>
      <c r="D59" s="7" t="s">
        <v>404</v>
      </c>
      <c r="E59" s="7" t="s">
        <v>125</v>
      </c>
      <c r="F59" s="7" t="s">
        <v>405</v>
      </c>
      <c r="G59" s="7" t="s">
        <v>17</v>
      </c>
      <c r="H59" s="7" t="s">
        <v>5</v>
      </c>
      <c r="I59" s="7" t="s">
        <v>373</v>
      </c>
      <c r="J59" s="7" t="s">
        <v>406</v>
      </c>
      <c r="K59" s="7" t="s">
        <v>200</v>
      </c>
      <c r="L59" s="7" t="s">
        <v>407</v>
      </c>
    </row>
    <row r="60" customFormat="false" ht="23.85" hidden="false" customHeight="false" outlineLevel="0" collapsed="false">
      <c r="A60" s="7" t="s">
        <v>408</v>
      </c>
      <c r="B60" s="7" t="s">
        <v>35</v>
      </c>
      <c r="C60" s="7" t="s">
        <v>409</v>
      </c>
      <c r="D60" s="7" t="s">
        <v>410</v>
      </c>
      <c r="E60" s="7" t="s">
        <v>148</v>
      </c>
      <c r="F60" s="7" t="s">
        <v>411</v>
      </c>
      <c r="G60" s="7" t="s">
        <v>17</v>
      </c>
      <c r="H60" s="7" t="s">
        <v>13</v>
      </c>
      <c r="I60" s="7" t="s">
        <v>373</v>
      </c>
      <c r="J60" s="7" t="s">
        <v>412</v>
      </c>
      <c r="K60" s="7" t="s">
        <v>200</v>
      </c>
      <c r="L60" s="7" t="s">
        <v>413</v>
      </c>
    </row>
    <row r="61" customFormat="false" ht="15" hidden="false" customHeight="false" outlineLevel="0" collapsed="false">
      <c r="A61" s="7" t="s">
        <v>414</v>
      </c>
      <c r="B61" s="7" t="s">
        <v>35</v>
      </c>
      <c r="C61" s="7" t="s">
        <v>415</v>
      </c>
      <c r="D61" s="7" t="s">
        <v>416</v>
      </c>
      <c r="E61" s="7" t="s">
        <v>148</v>
      </c>
      <c r="F61" s="7" t="s">
        <v>417</v>
      </c>
      <c r="G61" s="7" t="s">
        <v>17</v>
      </c>
      <c r="H61" s="7" t="s">
        <v>13</v>
      </c>
      <c r="I61" s="7" t="s">
        <v>373</v>
      </c>
      <c r="J61" s="7" t="s">
        <v>418</v>
      </c>
      <c r="K61" s="7" t="s">
        <v>200</v>
      </c>
      <c r="L61" s="7" t="s">
        <v>419</v>
      </c>
    </row>
    <row r="62" customFormat="false" ht="23.85" hidden="false" customHeight="false" outlineLevel="0" collapsed="false">
      <c r="A62" s="7" t="s">
        <v>420</v>
      </c>
      <c r="B62" s="7" t="s">
        <v>35</v>
      </c>
      <c r="C62" s="7" t="s">
        <v>421</v>
      </c>
      <c r="D62" s="7" t="s">
        <v>422</v>
      </c>
      <c r="E62" s="7" t="s">
        <v>148</v>
      </c>
      <c r="F62" s="7" t="s">
        <v>423</v>
      </c>
      <c r="G62" s="7" t="s">
        <v>17</v>
      </c>
      <c r="H62" s="7" t="s">
        <v>13</v>
      </c>
      <c r="I62" s="7" t="s">
        <v>373</v>
      </c>
      <c r="J62" s="7" t="s">
        <v>424</v>
      </c>
      <c r="K62" s="7" t="s">
        <v>200</v>
      </c>
      <c r="L62" s="7" t="s">
        <v>425</v>
      </c>
    </row>
    <row r="63" customFormat="false" ht="15" hidden="false" customHeight="false" outlineLevel="0" collapsed="false">
      <c r="A63" s="7" t="s">
        <v>426</v>
      </c>
      <c r="B63" s="7" t="s">
        <v>35</v>
      </c>
      <c r="C63" s="7" t="s">
        <v>427</v>
      </c>
      <c r="D63" s="7" t="s">
        <v>428</v>
      </c>
      <c r="E63" s="7" t="s">
        <v>148</v>
      </c>
      <c r="F63" s="7" t="s">
        <v>379</v>
      </c>
      <c r="G63" s="7" t="s">
        <v>17</v>
      </c>
      <c r="H63" s="7" t="s">
        <v>13</v>
      </c>
      <c r="I63" s="7" t="s">
        <v>373</v>
      </c>
      <c r="J63" s="7" t="s">
        <v>429</v>
      </c>
      <c r="K63" s="7" t="s">
        <v>200</v>
      </c>
      <c r="L63" s="7" t="s">
        <v>430</v>
      </c>
    </row>
    <row r="64" customFormat="false" ht="23.85" hidden="false" customHeight="false" outlineLevel="0" collapsed="false">
      <c r="A64" s="7" t="s">
        <v>431</v>
      </c>
      <c r="B64" s="7" t="s">
        <v>35</v>
      </c>
      <c r="C64" s="7" t="s">
        <v>432</v>
      </c>
      <c r="D64" s="7" t="s">
        <v>433</v>
      </c>
      <c r="E64" s="7" t="s">
        <v>434</v>
      </c>
      <c r="F64" s="7" t="s">
        <v>435</v>
      </c>
      <c r="G64" s="7" t="s">
        <v>19</v>
      </c>
      <c r="H64" s="7" t="s">
        <v>11</v>
      </c>
      <c r="I64" s="7" t="s">
        <v>40</v>
      </c>
      <c r="J64" s="7" t="s">
        <v>40</v>
      </c>
      <c r="K64" s="7" t="s">
        <v>40</v>
      </c>
      <c r="L64" s="7" t="s">
        <v>436</v>
      </c>
    </row>
    <row r="65" customFormat="false" ht="23.85" hidden="false" customHeight="false" outlineLevel="0" collapsed="false">
      <c r="A65" s="7" t="s">
        <v>437</v>
      </c>
      <c r="B65" s="7" t="s">
        <v>35</v>
      </c>
      <c r="C65" s="7" t="s">
        <v>438</v>
      </c>
      <c r="D65" s="7" t="s">
        <v>439</v>
      </c>
      <c r="E65" s="7" t="s">
        <v>148</v>
      </c>
      <c r="F65" s="7" t="s">
        <v>440</v>
      </c>
      <c r="G65" s="7" t="s">
        <v>17</v>
      </c>
      <c r="H65" s="7" t="s">
        <v>7</v>
      </c>
      <c r="I65" s="7" t="s">
        <v>441</v>
      </c>
      <c r="J65" s="7" t="s">
        <v>442</v>
      </c>
      <c r="K65" s="7" t="s">
        <v>443</v>
      </c>
      <c r="L65" s="7" t="s">
        <v>444</v>
      </c>
    </row>
    <row r="66" customFormat="false" ht="15" hidden="false" customHeight="false" outlineLevel="0" collapsed="false">
      <c r="A66" s="7" t="s">
        <v>445</v>
      </c>
      <c r="B66" s="7" t="s">
        <v>35</v>
      </c>
      <c r="C66" s="7" t="s">
        <v>446</v>
      </c>
      <c r="D66" s="7" t="s">
        <v>447</v>
      </c>
      <c r="E66" s="7" t="s">
        <v>52</v>
      </c>
      <c r="F66" s="7" t="s">
        <v>40</v>
      </c>
      <c r="G66" s="7" t="s">
        <v>20</v>
      </c>
      <c r="H66" s="7" t="s">
        <v>11</v>
      </c>
      <c r="I66" s="7" t="s">
        <v>40</v>
      </c>
      <c r="J66" s="7" t="s">
        <v>40</v>
      </c>
      <c r="K66" s="7" t="s">
        <v>40</v>
      </c>
      <c r="L66" s="7" t="s">
        <v>448</v>
      </c>
    </row>
    <row r="67" customFormat="false" ht="35.05" hidden="false" customHeight="false" outlineLevel="0" collapsed="false">
      <c r="A67" s="7" t="s">
        <v>449</v>
      </c>
      <c r="B67" s="7" t="s">
        <v>35</v>
      </c>
      <c r="C67" s="7" t="s">
        <v>450</v>
      </c>
      <c r="D67" s="7" t="s">
        <v>451</v>
      </c>
      <c r="E67" s="7" t="s">
        <v>452</v>
      </c>
      <c r="F67" s="7" t="s">
        <v>453</v>
      </c>
      <c r="G67" s="7" t="s">
        <v>19</v>
      </c>
      <c r="H67" s="7" t="s">
        <v>7</v>
      </c>
      <c r="I67" s="7" t="s">
        <v>454</v>
      </c>
      <c r="J67" s="7" t="s">
        <v>455</v>
      </c>
      <c r="K67" s="7" t="s">
        <v>456</v>
      </c>
      <c r="L67" s="7" t="s">
        <v>457</v>
      </c>
    </row>
    <row r="68" customFormat="false" ht="15" hidden="false" customHeight="false" outlineLevel="0" collapsed="false">
      <c r="A68" s="7" t="s">
        <v>458</v>
      </c>
      <c r="B68" s="7" t="s">
        <v>35</v>
      </c>
      <c r="C68" s="7" t="s">
        <v>459</v>
      </c>
      <c r="D68" s="7" t="s">
        <v>460</v>
      </c>
      <c r="E68" s="7" t="s">
        <v>461</v>
      </c>
      <c r="F68" s="7" t="s">
        <v>40</v>
      </c>
      <c r="G68" s="7" t="s">
        <v>19</v>
      </c>
      <c r="H68" s="7" t="s">
        <v>11</v>
      </c>
      <c r="I68" s="7" t="s">
        <v>40</v>
      </c>
      <c r="J68" s="7" t="s">
        <v>40</v>
      </c>
      <c r="K68" s="7" t="s">
        <v>40</v>
      </c>
      <c r="L68" s="7" t="s">
        <v>462</v>
      </c>
    </row>
    <row r="69" customFormat="false" ht="46.25" hidden="false" customHeight="false" outlineLevel="0" collapsed="false">
      <c r="A69" s="7" t="s">
        <v>463</v>
      </c>
      <c r="B69" s="7" t="s">
        <v>464</v>
      </c>
      <c r="C69" s="7" t="s">
        <v>465</v>
      </c>
      <c r="D69" s="7" t="s">
        <v>466</v>
      </c>
      <c r="E69" s="7" t="s">
        <v>467</v>
      </c>
      <c r="F69" s="7" t="s">
        <v>468</v>
      </c>
      <c r="G69" s="7" t="s">
        <v>18</v>
      </c>
      <c r="H69" s="7" t="s">
        <v>7</v>
      </c>
      <c r="I69" s="7" t="s">
        <v>441</v>
      </c>
      <c r="J69" s="7" t="s">
        <v>469</v>
      </c>
      <c r="K69" s="7" t="s">
        <v>40</v>
      </c>
      <c r="L69" s="7" t="s">
        <v>470</v>
      </c>
    </row>
    <row r="70" customFormat="false" ht="35.05" hidden="false" customHeight="false" outlineLevel="0" collapsed="false">
      <c r="A70" s="7" t="s">
        <v>471</v>
      </c>
      <c r="B70" s="7" t="s">
        <v>464</v>
      </c>
      <c r="C70" s="7" t="s">
        <v>472</v>
      </c>
      <c r="D70" s="7" t="s">
        <v>473</v>
      </c>
      <c r="E70" s="7" t="s">
        <v>467</v>
      </c>
      <c r="F70" s="7" t="s">
        <v>474</v>
      </c>
      <c r="G70" s="7" t="s">
        <v>19</v>
      </c>
      <c r="H70" s="7" t="s">
        <v>11</v>
      </c>
      <c r="I70" s="7" t="s">
        <v>40</v>
      </c>
      <c r="J70" s="7" t="s">
        <v>475</v>
      </c>
      <c r="K70" s="7" t="s">
        <v>40</v>
      </c>
      <c r="L70" s="7" t="s">
        <v>476</v>
      </c>
    </row>
    <row r="71" customFormat="false" ht="35.05" hidden="false" customHeight="false" outlineLevel="0" collapsed="false">
      <c r="A71" s="7" t="s">
        <v>477</v>
      </c>
      <c r="B71" s="7" t="s">
        <v>464</v>
      </c>
      <c r="C71" s="7" t="s">
        <v>478</v>
      </c>
      <c r="D71" s="7" t="s">
        <v>479</v>
      </c>
      <c r="E71" s="7" t="s">
        <v>467</v>
      </c>
      <c r="F71" s="7" t="s">
        <v>480</v>
      </c>
      <c r="G71" s="7" t="s">
        <v>18</v>
      </c>
      <c r="H71" s="7" t="s">
        <v>7</v>
      </c>
      <c r="I71" s="7" t="s">
        <v>373</v>
      </c>
      <c r="J71" s="7" t="s">
        <v>481</v>
      </c>
      <c r="K71" s="7" t="s">
        <v>40</v>
      </c>
      <c r="L71" s="7" t="s">
        <v>482</v>
      </c>
    </row>
    <row r="72" customFormat="false" ht="57.45" hidden="false" customHeight="false" outlineLevel="0" collapsed="false">
      <c r="A72" s="7" t="s">
        <v>483</v>
      </c>
      <c r="B72" s="7" t="s">
        <v>484</v>
      </c>
      <c r="C72" s="7" t="s">
        <v>485</v>
      </c>
      <c r="D72" s="7" t="s">
        <v>486</v>
      </c>
      <c r="E72" s="7" t="s">
        <v>487</v>
      </c>
      <c r="F72" s="7" t="s">
        <v>488</v>
      </c>
      <c r="G72" s="7" t="s">
        <v>18</v>
      </c>
      <c r="H72" s="7" t="s">
        <v>7</v>
      </c>
      <c r="I72" s="7" t="s">
        <v>441</v>
      </c>
      <c r="J72" s="7" t="s">
        <v>489</v>
      </c>
      <c r="K72" s="7" t="s">
        <v>490</v>
      </c>
      <c r="L72" s="7" t="s">
        <v>491</v>
      </c>
    </row>
    <row r="73" customFormat="false" ht="57.45" hidden="false" customHeight="false" outlineLevel="0" collapsed="false">
      <c r="A73" s="7" t="s">
        <v>492</v>
      </c>
      <c r="B73" s="7" t="s">
        <v>484</v>
      </c>
      <c r="C73" s="7" t="s">
        <v>493</v>
      </c>
      <c r="D73" s="7" t="s">
        <v>494</v>
      </c>
      <c r="E73" s="7" t="s">
        <v>487</v>
      </c>
      <c r="F73" s="7" t="s">
        <v>488</v>
      </c>
      <c r="G73" s="7" t="s">
        <v>18</v>
      </c>
      <c r="H73" s="7" t="s">
        <v>7</v>
      </c>
      <c r="I73" s="7" t="s">
        <v>441</v>
      </c>
      <c r="J73" s="7" t="s">
        <v>495</v>
      </c>
      <c r="K73" s="7" t="s">
        <v>490</v>
      </c>
      <c r="L73" s="7" t="s">
        <v>496</v>
      </c>
    </row>
    <row r="74" customFormat="false" ht="68.65" hidden="false" customHeight="false" outlineLevel="0" collapsed="false">
      <c r="A74" s="7" t="s">
        <v>497</v>
      </c>
      <c r="B74" s="7" t="s">
        <v>484</v>
      </c>
      <c r="C74" s="7" t="s">
        <v>498</v>
      </c>
      <c r="D74" s="7" t="s">
        <v>499</v>
      </c>
      <c r="E74" s="7" t="s">
        <v>487</v>
      </c>
      <c r="F74" s="7" t="s">
        <v>488</v>
      </c>
      <c r="G74" s="7" t="s">
        <v>18</v>
      </c>
      <c r="H74" s="7" t="s">
        <v>7</v>
      </c>
      <c r="I74" s="7" t="s">
        <v>441</v>
      </c>
      <c r="J74" s="7" t="s">
        <v>500</v>
      </c>
      <c r="K74" s="7" t="s">
        <v>490</v>
      </c>
      <c r="L74" s="7" t="s">
        <v>501</v>
      </c>
    </row>
    <row r="75" customFormat="false" ht="68.65" hidden="false" customHeight="false" outlineLevel="0" collapsed="false">
      <c r="A75" s="7" t="s">
        <v>502</v>
      </c>
      <c r="B75" s="7" t="s">
        <v>484</v>
      </c>
      <c r="C75" s="7" t="s">
        <v>503</v>
      </c>
      <c r="D75" s="7" t="s">
        <v>504</v>
      </c>
      <c r="E75" s="7" t="s">
        <v>487</v>
      </c>
      <c r="F75" s="7" t="s">
        <v>488</v>
      </c>
      <c r="G75" s="7" t="s">
        <v>17</v>
      </c>
      <c r="H75" s="7" t="s">
        <v>7</v>
      </c>
      <c r="I75" s="7" t="s">
        <v>441</v>
      </c>
      <c r="J75" s="7" t="s">
        <v>505</v>
      </c>
      <c r="K75" s="7" t="s">
        <v>490</v>
      </c>
      <c r="L75" s="7" t="s">
        <v>506</v>
      </c>
    </row>
    <row r="76" customFormat="false" ht="46.25" hidden="false" customHeight="false" outlineLevel="0" collapsed="false">
      <c r="A76" s="7" t="s">
        <v>507</v>
      </c>
      <c r="B76" s="7" t="s">
        <v>484</v>
      </c>
      <c r="C76" s="7" t="s">
        <v>508</v>
      </c>
      <c r="D76" s="7" t="s">
        <v>509</v>
      </c>
      <c r="E76" s="7" t="s">
        <v>487</v>
      </c>
      <c r="F76" s="7" t="s">
        <v>510</v>
      </c>
      <c r="G76" s="7" t="s">
        <v>18</v>
      </c>
      <c r="H76" s="7" t="s">
        <v>7</v>
      </c>
      <c r="I76" s="7" t="s">
        <v>373</v>
      </c>
      <c r="J76" s="7" t="s">
        <v>511</v>
      </c>
      <c r="K76" s="7" t="s">
        <v>490</v>
      </c>
      <c r="L76" s="7" t="s">
        <v>512</v>
      </c>
    </row>
    <row r="77" customFormat="false" ht="57.45" hidden="false" customHeight="false" outlineLevel="0" collapsed="false">
      <c r="A77" s="7" t="s">
        <v>513</v>
      </c>
      <c r="B77" s="7" t="s">
        <v>514</v>
      </c>
      <c r="C77" s="7" t="s">
        <v>515</v>
      </c>
      <c r="D77" s="7" t="s">
        <v>516</v>
      </c>
      <c r="E77" s="7" t="s">
        <v>517</v>
      </c>
      <c r="F77" s="7" t="s">
        <v>488</v>
      </c>
      <c r="G77" s="7" t="s">
        <v>18</v>
      </c>
      <c r="H77" s="7" t="s">
        <v>7</v>
      </c>
      <c r="I77" s="7" t="s">
        <v>441</v>
      </c>
      <c r="J77" s="7" t="s">
        <v>518</v>
      </c>
      <c r="K77" s="7" t="s">
        <v>519</v>
      </c>
      <c r="L77" s="7"/>
    </row>
    <row r="78" customFormat="false" ht="57.45" hidden="false" customHeight="false" outlineLevel="0" collapsed="false">
      <c r="A78" s="7" t="s">
        <v>520</v>
      </c>
      <c r="B78" s="7" t="s">
        <v>514</v>
      </c>
      <c r="C78" s="7" t="s">
        <v>521</v>
      </c>
      <c r="D78" s="7" t="s">
        <v>522</v>
      </c>
      <c r="E78" s="7" t="s">
        <v>517</v>
      </c>
      <c r="F78" s="7" t="s">
        <v>488</v>
      </c>
      <c r="G78" s="7" t="s">
        <v>18</v>
      </c>
      <c r="H78" s="7" t="s">
        <v>7</v>
      </c>
      <c r="I78" s="7" t="s">
        <v>441</v>
      </c>
      <c r="J78" s="7" t="s">
        <v>523</v>
      </c>
      <c r="K78" s="7" t="s">
        <v>519</v>
      </c>
      <c r="L78" s="7"/>
    </row>
    <row r="79" customFormat="false" ht="57.45" hidden="false" customHeight="false" outlineLevel="0" collapsed="false">
      <c r="A79" s="7" t="s">
        <v>524</v>
      </c>
      <c r="B79" s="7" t="s">
        <v>514</v>
      </c>
      <c r="C79" s="7" t="s">
        <v>525</v>
      </c>
      <c r="D79" s="7" t="s">
        <v>526</v>
      </c>
      <c r="E79" s="7" t="s">
        <v>517</v>
      </c>
      <c r="F79" s="7" t="s">
        <v>488</v>
      </c>
      <c r="G79" s="7" t="s">
        <v>18</v>
      </c>
      <c r="H79" s="7" t="s">
        <v>7</v>
      </c>
      <c r="I79" s="7" t="s">
        <v>441</v>
      </c>
      <c r="J79" s="7" t="s">
        <v>527</v>
      </c>
      <c r="K79" s="7" t="s">
        <v>519</v>
      </c>
      <c r="L79" s="7"/>
    </row>
    <row r="80" customFormat="false" ht="57.45" hidden="false" customHeight="false" outlineLevel="0" collapsed="false">
      <c r="A80" s="7" t="s">
        <v>528</v>
      </c>
      <c r="B80" s="7" t="s">
        <v>514</v>
      </c>
      <c r="C80" s="7" t="s">
        <v>529</v>
      </c>
      <c r="D80" s="7" t="s">
        <v>530</v>
      </c>
      <c r="E80" s="7" t="s">
        <v>517</v>
      </c>
      <c r="F80" s="7" t="s">
        <v>488</v>
      </c>
      <c r="G80" s="7" t="s">
        <v>18</v>
      </c>
      <c r="H80" s="7" t="s">
        <v>7</v>
      </c>
      <c r="I80" s="7" t="s">
        <v>441</v>
      </c>
      <c r="J80" s="7" t="s">
        <v>531</v>
      </c>
      <c r="K80" s="7" t="s">
        <v>519</v>
      </c>
      <c r="L80" s="7"/>
    </row>
    <row r="81" customFormat="false" ht="68.65" hidden="false" customHeight="false" outlineLevel="0" collapsed="false">
      <c r="A81" s="7" t="s">
        <v>532</v>
      </c>
      <c r="B81" s="7" t="s">
        <v>514</v>
      </c>
      <c r="C81" s="7" t="s">
        <v>533</v>
      </c>
      <c r="D81" s="7" t="s">
        <v>534</v>
      </c>
      <c r="E81" s="7" t="s">
        <v>517</v>
      </c>
      <c r="F81" s="7" t="s">
        <v>488</v>
      </c>
      <c r="G81" s="7" t="s">
        <v>17</v>
      </c>
      <c r="H81" s="7" t="s">
        <v>7</v>
      </c>
      <c r="I81" s="7" t="s">
        <v>441</v>
      </c>
      <c r="J81" s="7" t="s">
        <v>535</v>
      </c>
      <c r="K81" s="7" t="s">
        <v>519</v>
      </c>
      <c r="L81" s="7"/>
    </row>
    <row r="82" customFormat="false" ht="46.25" hidden="false" customHeight="false" outlineLevel="0" collapsed="false">
      <c r="A82" s="7" t="s">
        <v>536</v>
      </c>
      <c r="B82" s="7" t="s">
        <v>514</v>
      </c>
      <c r="C82" s="7" t="s">
        <v>537</v>
      </c>
      <c r="D82" s="7" t="s">
        <v>538</v>
      </c>
      <c r="E82" s="7" t="s">
        <v>517</v>
      </c>
      <c r="F82" s="7" t="s">
        <v>539</v>
      </c>
      <c r="G82" s="7" t="s">
        <v>17</v>
      </c>
      <c r="H82" s="7" t="s">
        <v>7</v>
      </c>
      <c r="I82" s="7" t="s">
        <v>373</v>
      </c>
      <c r="J82" s="7" t="s">
        <v>540</v>
      </c>
      <c r="K82" s="7" t="s">
        <v>519</v>
      </c>
      <c r="L82" s="7" t="s">
        <v>541</v>
      </c>
    </row>
    <row r="83" customFormat="false" ht="46.25" hidden="false" customHeight="false" outlineLevel="0" collapsed="false">
      <c r="A83" s="7" t="s">
        <v>542</v>
      </c>
      <c r="B83" s="7" t="s">
        <v>514</v>
      </c>
      <c r="C83" s="7" t="s">
        <v>543</v>
      </c>
      <c r="D83" s="7" t="s">
        <v>544</v>
      </c>
      <c r="E83" s="7" t="s">
        <v>517</v>
      </c>
      <c r="F83" s="7" t="s">
        <v>539</v>
      </c>
      <c r="G83" s="7" t="s">
        <v>18</v>
      </c>
      <c r="H83" s="7" t="s">
        <v>7</v>
      </c>
      <c r="I83" s="7" t="s">
        <v>373</v>
      </c>
      <c r="J83" s="7" t="s">
        <v>545</v>
      </c>
      <c r="K83" s="7" t="s">
        <v>519</v>
      </c>
      <c r="L83" s="7" t="s">
        <v>541</v>
      </c>
    </row>
    <row r="84" customFormat="false" ht="46.25" hidden="false" customHeight="false" outlineLevel="0" collapsed="false">
      <c r="A84" s="7" t="s">
        <v>546</v>
      </c>
      <c r="B84" s="7" t="s">
        <v>514</v>
      </c>
      <c r="C84" s="7" t="s">
        <v>547</v>
      </c>
      <c r="D84" s="7" t="s">
        <v>548</v>
      </c>
      <c r="E84" s="7" t="s">
        <v>517</v>
      </c>
      <c r="F84" s="7" t="s">
        <v>539</v>
      </c>
      <c r="G84" s="7" t="s">
        <v>18</v>
      </c>
      <c r="H84" s="7" t="s">
        <v>7</v>
      </c>
      <c r="I84" s="7" t="s">
        <v>373</v>
      </c>
      <c r="J84" s="7" t="s">
        <v>549</v>
      </c>
      <c r="K84" s="7" t="s">
        <v>519</v>
      </c>
      <c r="L84" s="7" t="s">
        <v>541</v>
      </c>
    </row>
    <row r="85" customFormat="false" ht="46.25" hidden="false" customHeight="false" outlineLevel="0" collapsed="false">
      <c r="A85" s="7" t="s">
        <v>550</v>
      </c>
      <c r="B85" s="7" t="s">
        <v>514</v>
      </c>
      <c r="C85" s="7" t="s">
        <v>551</v>
      </c>
      <c r="D85" s="7" t="s">
        <v>552</v>
      </c>
      <c r="E85" s="7" t="s">
        <v>517</v>
      </c>
      <c r="F85" s="7" t="s">
        <v>539</v>
      </c>
      <c r="G85" s="7" t="s">
        <v>19</v>
      </c>
      <c r="H85" s="7" t="s">
        <v>7</v>
      </c>
      <c r="I85" s="7" t="s">
        <v>373</v>
      </c>
      <c r="J85" s="7" t="s">
        <v>553</v>
      </c>
      <c r="K85" s="7" t="s">
        <v>519</v>
      </c>
      <c r="L85" s="7" t="s">
        <v>554</v>
      </c>
    </row>
    <row r="86" customFormat="false" ht="46.25" hidden="false" customHeight="false" outlineLevel="0" collapsed="false">
      <c r="A86" s="7" t="s">
        <v>555</v>
      </c>
      <c r="B86" s="7" t="s">
        <v>514</v>
      </c>
      <c r="C86" s="7" t="s">
        <v>556</v>
      </c>
      <c r="D86" s="7" t="s">
        <v>557</v>
      </c>
      <c r="E86" s="7" t="s">
        <v>517</v>
      </c>
      <c r="F86" s="7" t="s">
        <v>558</v>
      </c>
      <c r="G86" s="7" t="s">
        <v>18</v>
      </c>
      <c r="H86" s="7" t="s">
        <v>7</v>
      </c>
      <c r="I86" s="7" t="s">
        <v>373</v>
      </c>
      <c r="J86" s="7" t="s">
        <v>559</v>
      </c>
      <c r="K86" s="7" t="s">
        <v>519</v>
      </c>
      <c r="L86" s="7" t="s">
        <v>541</v>
      </c>
    </row>
    <row r="87" customFormat="false" ht="46.25" hidden="false" customHeight="false" outlineLevel="0" collapsed="false">
      <c r="A87" s="7" t="s">
        <v>560</v>
      </c>
      <c r="B87" s="7" t="s">
        <v>514</v>
      </c>
      <c r="C87" s="7" t="s">
        <v>561</v>
      </c>
      <c r="D87" s="7" t="s">
        <v>562</v>
      </c>
      <c r="E87" s="7" t="s">
        <v>517</v>
      </c>
      <c r="F87" s="7" t="s">
        <v>558</v>
      </c>
      <c r="G87" s="7" t="s">
        <v>18</v>
      </c>
      <c r="H87" s="7" t="s">
        <v>7</v>
      </c>
      <c r="I87" s="7" t="s">
        <v>373</v>
      </c>
      <c r="J87" s="7" t="s">
        <v>563</v>
      </c>
      <c r="K87" s="7" t="s">
        <v>519</v>
      </c>
      <c r="L87" s="7" t="s">
        <v>541</v>
      </c>
    </row>
    <row r="88" customFormat="false" ht="35.05" hidden="false" customHeight="false" outlineLevel="0" collapsed="false">
      <c r="A88" s="7" t="s">
        <v>564</v>
      </c>
      <c r="B88" s="7" t="s">
        <v>565</v>
      </c>
      <c r="C88" s="7" t="s">
        <v>566</v>
      </c>
      <c r="D88" s="7" t="s">
        <v>567</v>
      </c>
      <c r="E88" s="7" t="s">
        <v>568</v>
      </c>
      <c r="F88" s="7" t="s">
        <v>40</v>
      </c>
      <c r="G88" s="7" t="s">
        <v>17</v>
      </c>
      <c r="H88" s="7" t="s">
        <v>5</v>
      </c>
      <c r="I88" s="7" t="s">
        <v>569</v>
      </c>
      <c r="J88" s="7" t="s">
        <v>570</v>
      </c>
      <c r="K88" s="7" t="s">
        <v>571</v>
      </c>
      <c r="L88" s="7" t="s">
        <v>572</v>
      </c>
    </row>
    <row r="89" customFormat="false" ht="35.05" hidden="false" customHeight="false" outlineLevel="0" collapsed="false">
      <c r="A89" s="7" t="s">
        <v>573</v>
      </c>
      <c r="B89" s="7" t="s">
        <v>565</v>
      </c>
      <c r="C89" s="7" t="s">
        <v>574</v>
      </c>
      <c r="D89" s="7" t="s">
        <v>575</v>
      </c>
      <c r="E89" s="7" t="s">
        <v>568</v>
      </c>
      <c r="F89" s="7" t="s">
        <v>40</v>
      </c>
      <c r="G89" s="7" t="s">
        <v>17</v>
      </c>
      <c r="H89" s="7" t="s">
        <v>5</v>
      </c>
      <c r="I89" s="7" t="s">
        <v>576</v>
      </c>
      <c r="J89" s="7" t="s">
        <v>577</v>
      </c>
      <c r="K89" s="7" t="s">
        <v>40</v>
      </c>
      <c r="L89" s="7"/>
    </row>
    <row r="90" customFormat="false" ht="23.85" hidden="false" customHeight="false" outlineLevel="0" collapsed="false">
      <c r="A90" s="7" t="s">
        <v>578</v>
      </c>
      <c r="B90" s="7" t="s">
        <v>565</v>
      </c>
      <c r="C90" s="7" t="s">
        <v>579</v>
      </c>
      <c r="D90" s="7" t="s">
        <v>580</v>
      </c>
      <c r="E90" s="7" t="s">
        <v>581</v>
      </c>
      <c r="F90" s="7" t="s">
        <v>40</v>
      </c>
      <c r="G90" s="7" t="s">
        <v>17</v>
      </c>
      <c r="H90" s="7" t="s">
        <v>5</v>
      </c>
      <c r="I90" s="7" t="s">
        <v>582</v>
      </c>
      <c r="J90" s="7" t="s">
        <v>583</v>
      </c>
      <c r="K90" s="7" t="s">
        <v>40</v>
      </c>
      <c r="L90" s="7" t="s">
        <v>584</v>
      </c>
    </row>
    <row r="91" customFormat="false" ht="35.05" hidden="false" customHeight="false" outlineLevel="0" collapsed="false">
      <c r="A91" s="7" t="s">
        <v>585</v>
      </c>
      <c r="B91" s="7" t="s">
        <v>565</v>
      </c>
      <c r="C91" s="7" t="s">
        <v>586</v>
      </c>
      <c r="D91" s="7" t="s">
        <v>587</v>
      </c>
      <c r="E91" s="7" t="s">
        <v>581</v>
      </c>
      <c r="F91" s="7" t="s">
        <v>40</v>
      </c>
      <c r="G91" s="7" t="s">
        <v>17</v>
      </c>
      <c r="H91" s="7" t="s">
        <v>5</v>
      </c>
      <c r="I91" s="7" t="s">
        <v>588</v>
      </c>
      <c r="J91" s="7" t="s">
        <v>589</v>
      </c>
      <c r="K91" s="7" t="s">
        <v>40</v>
      </c>
      <c r="L91" s="7"/>
    </row>
    <row r="92" customFormat="false" ht="35.05" hidden="false" customHeight="false" outlineLevel="0" collapsed="false">
      <c r="A92" s="7" t="s">
        <v>590</v>
      </c>
      <c r="B92" s="7" t="s">
        <v>565</v>
      </c>
      <c r="C92" s="7" t="s">
        <v>591</v>
      </c>
      <c r="D92" s="7" t="s">
        <v>592</v>
      </c>
      <c r="E92" s="7" t="s">
        <v>593</v>
      </c>
      <c r="F92" s="7" t="s">
        <v>40</v>
      </c>
      <c r="G92" s="7" t="s">
        <v>17</v>
      </c>
      <c r="H92" s="7" t="s">
        <v>5</v>
      </c>
      <c r="I92" s="7" t="s">
        <v>594</v>
      </c>
      <c r="J92" s="7" t="s">
        <v>595</v>
      </c>
      <c r="K92" s="7" t="s">
        <v>40</v>
      </c>
      <c r="L92" s="7" t="s">
        <v>596</v>
      </c>
    </row>
    <row r="93" customFormat="false" ht="35.05" hidden="false" customHeight="false" outlineLevel="0" collapsed="false">
      <c r="A93" s="7" t="s">
        <v>597</v>
      </c>
      <c r="B93" s="7" t="s">
        <v>565</v>
      </c>
      <c r="C93" s="7" t="s">
        <v>598</v>
      </c>
      <c r="D93" s="7" t="s">
        <v>599</v>
      </c>
      <c r="E93" s="7" t="s">
        <v>581</v>
      </c>
      <c r="F93" s="7" t="s">
        <v>40</v>
      </c>
      <c r="G93" s="7" t="s">
        <v>19</v>
      </c>
      <c r="H93" s="7" t="s">
        <v>11</v>
      </c>
      <c r="I93" s="7" t="s">
        <v>40</v>
      </c>
      <c r="J93" s="7" t="s">
        <v>40</v>
      </c>
      <c r="K93" s="7" t="s">
        <v>40</v>
      </c>
      <c r="L93" s="7" t="s">
        <v>600</v>
      </c>
    </row>
  </sheetData>
  <autoFilter ref="A1:L93"/>
  <conditionalFormatting sqref="H2:H93">
    <cfRule type="expression" priority="2" aboveAverage="0" equalAverage="0" bottom="0" percent="0" rank="0" text="" dxfId="8">
      <formula>$H2="Usar"</formula>
    </cfRule>
    <cfRule type="expression" priority="3" aboveAverage="0" equalAverage="0" bottom="0" percent="0" rank="0" text="" dxfId="9">
      <formula>$H2="Usar tras mejorar"</formula>
    </cfRule>
    <cfRule type="expression" priority="4" aboveAverage="0" equalAverage="0" bottom="0" percent="0" rank="0" text="" dxfId="10">
      <formula>$H2="Solo texto"</formula>
    </cfRule>
    <cfRule type="expression" priority="5" aboveAverage="0" equalAverage="0" bottom="0" percent="0" rank="0" text="" dxfId="11">
      <formula>$H2="Descartar"</formula>
    </cfRule>
    <cfRule type="expression" priority="6" aboveAverage="0" equalAverage="0" bottom="0" percent="0" rank="0" text="" dxfId="12">
      <formula>$H2="Pendiente de datos"</formula>
    </cfRule>
  </conditionalFormatting>
  <dataValidations count="2">
    <dataValidation allowBlank="true" errorStyle="stop" operator="between" showDropDown="false" showErrorMessage="false" showInputMessage="false" sqref="H2:H93" type="list">
      <formula1>"Usar,Usar tras mejorar,Solo texto,Descartar,Pendiente de datos"</formula1>
      <formula2>0</formula2>
    </dataValidation>
    <dataValidation allowBlank="true" errorStyle="stop" operator="between" showDropDown="false" showErrorMessage="false" showInputMessage="false" sqref="G2:G93" type="list">
      <formula1>"Alta,Media,Baja,n/a"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44"/>
    <col collapsed="false" customWidth="true" hidden="false" outlineLevel="0" max="7" min="7" style="0" width="38"/>
    <col collapsed="false" customWidth="true" hidden="false" outlineLevel="0" max="8" min="8" style="0" width="16"/>
    <col collapsed="false" customWidth="true" hidden="false" outlineLevel="0" max="9" min="9" style="0" width="50"/>
  </cols>
  <sheetData>
    <row r="1" customFormat="false" ht="30" hidden="false" customHeight="true" outlineLevel="0" collapsed="false">
      <c r="A1" s="6" t="s">
        <v>601</v>
      </c>
      <c r="B1" s="6" t="s">
        <v>602</v>
      </c>
      <c r="C1" s="6" t="s">
        <v>27</v>
      </c>
      <c r="D1" s="6" t="s">
        <v>603</v>
      </c>
      <c r="E1" s="6" t="s">
        <v>604</v>
      </c>
      <c r="F1" s="6" t="s">
        <v>605</v>
      </c>
      <c r="G1" s="6" t="s">
        <v>606</v>
      </c>
      <c r="H1" s="6" t="s">
        <v>607</v>
      </c>
      <c r="I1" s="6" t="s">
        <v>608</v>
      </c>
    </row>
    <row r="2" customFormat="false" ht="23.85" hidden="false" customHeight="false" outlineLevel="0" collapsed="false">
      <c r="A2" s="7" t="n">
        <v>1</v>
      </c>
      <c r="B2" s="7" t="s">
        <v>373</v>
      </c>
      <c r="C2" s="7" t="s">
        <v>609</v>
      </c>
      <c r="D2" s="7" t="s">
        <v>610</v>
      </c>
      <c r="E2" s="7" t="s">
        <v>611</v>
      </c>
      <c r="F2" s="7" t="s">
        <v>612</v>
      </c>
      <c r="G2" s="7" t="s">
        <v>613</v>
      </c>
      <c r="H2" s="7" t="s">
        <v>614</v>
      </c>
      <c r="I2" s="7" t="s">
        <v>615</v>
      </c>
    </row>
    <row r="3" customFormat="false" ht="23.85" hidden="false" customHeight="false" outlineLevel="0" collapsed="false">
      <c r="A3" s="7" t="n">
        <v>2</v>
      </c>
      <c r="B3" s="7" t="s">
        <v>441</v>
      </c>
      <c r="C3" s="7" t="s">
        <v>609</v>
      </c>
      <c r="D3" s="7" t="s">
        <v>610</v>
      </c>
      <c r="E3" s="7" t="s">
        <v>616</v>
      </c>
      <c r="F3" s="7" t="s">
        <v>617</v>
      </c>
      <c r="G3" s="7" t="s">
        <v>618</v>
      </c>
      <c r="H3" s="7" t="s">
        <v>614</v>
      </c>
      <c r="I3" s="7" t="s">
        <v>619</v>
      </c>
    </row>
    <row r="4" customFormat="false" ht="23.85" hidden="false" customHeight="false" outlineLevel="0" collapsed="false">
      <c r="A4" s="7" t="n">
        <v>3</v>
      </c>
      <c r="B4" s="7" t="s">
        <v>170</v>
      </c>
      <c r="C4" s="7" t="s">
        <v>609</v>
      </c>
      <c r="D4" s="7" t="s">
        <v>620</v>
      </c>
      <c r="E4" s="7" t="s">
        <v>621</v>
      </c>
      <c r="F4" s="7" t="s">
        <v>622</v>
      </c>
      <c r="G4" s="7" t="s">
        <v>623</v>
      </c>
      <c r="H4" s="7" t="s">
        <v>624</v>
      </c>
      <c r="I4" s="7" t="s">
        <v>625</v>
      </c>
    </row>
    <row r="5" customFormat="false" ht="15" hidden="false" customHeight="false" outlineLevel="0" collapsed="false">
      <c r="A5" s="7" t="n">
        <v>4</v>
      </c>
      <c r="B5" s="7" t="s">
        <v>190</v>
      </c>
      <c r="C5" s="7" t="s">
        <v>609</v>
      </c>
      <c r="D5" s="7" t="s">
        <v>620</v>
      </c>
      <c r="E5" s="7" t="s">
        <v>626</v>
      </c>
      <c r="F5" s="7" t="s">
        <v>627</v>
      </c>
      <c r="G5" s="7" t="s">
        <v>628</v>
      </c>
      <c r="H5" s="7" t="s">
        <v>614</v>
      </c>
      <c r="I5" s="7" t="s">
        <v>629</v>
      </c>
    </row>
    <row r="6" customFormat="false" ht="23.85" hidden="false" customHeight="false" outlineLevel="0" collapsed="false">
      <c r="A6" s="7" t="n">
        <v>5</v>
      </c>
      <c r="B6" s="7" t="s">
        <v>346</v>
      </c>
      <c r="C6" s="7" t="s">
        <v>609</v>
      </c>
      <c r="D6" s="7" t="s">
        <v>610</v>
      </c>
      <c r="E6" s="7" t="s">
        <v>630</v>
      </c>
      <c r="F6" s="7" t="s">
        <v>631</v>
      </c>
      <c r="G6" s="7" t="s">
        <v>632</v>
      </c>
      <c r="H6" s="7" t="s">
        <v>624</v>
      </c>
      <c r="I6" s="7" t="s">
        <v>633</v>
      </c>
    </row>
    <row r="7" customFormat="false" ht="23.85" hidden="false" customHeight="false" outlineLevel="0" collapsed="false">
      <c r="A7" s="7" t="n">
        <v>6</v>
      </c>
      <c r="B7" s="7" t="s">
        <v>294</v>
      </c>
      <c r="C7" s="7" t="s">
        <v>609</v>
      </c>
      <c r="D7" s="7" t="s">
        <v>610</v>
      </c>
      <c r="E7" s="7" t="s">
        <v>634</v>
      </c>
      <c r="F7" s="7" t="s">
        <v>635</v>
      </c>
      <c r="G7" s="7" t="s">
        <v>636</v>
      </c>
      <c r="H7" s="7" t="s">
        <v>614</v>
      </c>
      <c r="I7" s="7" t="s">
        <v>637</v>
      </c>
    </row>
    <row r="8" customFormat="false" ht="23.85" hidden="false" customHeight="false" outlineLevel="0" collapsed="false">
      <c r="A8" s="7" t="n">
        <v>7</v>
      </c>
      <c r="B8" s="7" t="s">
        <v>227</v>
      </c>
      <c r="C8" s="7" t="s">
        <v>609</v>
      </c>
      <c r="D8" s="7" t="s">
        <v>610</v>
      </c>
      <c r="E8" s="7" t="s">
        <v>638</v>
      </c>
      <c r="F8" s="7" t="s">
        <v>639</v>
      </c>
      <c r="G8" s="7" t="s">
        <v>640</v>
      </c>
      <c r="H8" s="7" t="s">
        <v>614</v>
      </c>
      <c r="I8" s="7" t="s">
        <v>641</v>
      </c>
    </row>
    <row r="9" customFormat="false" ht="15" hidden="false" customHeight="false" outlineLevel="0" collapsed="false">
      <c r="A9" s="7" t="n">
        <v>8</v>
      </c>
      <c r="B9" s="7" t="s">
        <v>111</v>
      </c>
      <c r="C9" s="7" t="s">
        <v>609</v>
      </c>
      <c r="D9" s="7" t="s">
        <v>610</v>
      </c>
      <c r="E9" s="7" t="s">
        <v>642</v>
      </c>
      <c r="F9" s="7" t="s">
        <v>40</v>
      </c>
      <c r="G9" s="7" t="s">
        <v>643</v>
      </c>
      <c r="H9" s="7" t="s">
        <v>614</v>
      </c>
      <c r="I9" s="7" t="s">
        <v>644</v>
      </c>
    </row>
    <row r="10" customFormat="false" ht="15" hidden="false" customHeight="false" outlineLevel="0" collapsed="false">
      <c r="A10" s="7" t="n">
        <v>9</v>
      </c>
      <c r="B10" s="7" t="s">
        <v>141</v>
      </c>
      <c r="C10" s="7" t="s">
        <v>645</v>
      </c>
      <c r="D10" s="7" t="s">
        <v>610</v>
      </c>
      <c r="E10" s="7" t="s">
        <v>646</v>
      </c>
      <c r="F10" s="7" t="s">
        <v>647</v>
      </c>
      <c r="G10" s="7" t="s">
        <v>648</v>
      </c>
      <c r="H10" s="7" t="s">
        <v>624</v>
      </c>
      <c r="I10" s="7" t="s">
        <v>649</v>
      </c>
    </row>
    <row r="11" customFormat="false" ht="15" hidden="false" customHeight="false" outlineLevel="0" collapsed="false">
      <c r="A11" s="7" t="n">
        <v>10</v>
      </c>
      <c r="B11" s="7" t="s">
        <v>103</v>
      </c>
      <c r="C11" s="7" t="s">
        <v>645</v>
      </c>
      <c r="D11" s="7" t="s">
        <v>610</v>
      </c>
      <c r="E11" s="7" t="s">
        <v>650</v>
      </c>
      <c r="F11" s="7" t="s">
        <v>651</v>
      </c>
      <c r="G11" s="7" t="s">
        <v>98</v>
      </c>
      <c r="H11" s="7" t="s">
        <v>624</v>
      </c>
      <c r="I11" s="7"/>
    </row>
    <row r="12" customFormat="false" ht="15" hidden="false" customHeight="false" outlineLevel="0" collapsed="false">
      <c r="A12" s="7" t="n">
        <v>11</v>
      </c>
      <c r="B12" s="7" t="s">
        <v>127</v>
      </c>
      <c r="C12" s="7" t="s">
        <v>645</v>
      </c>
      <c r="D12" s="7" t="s">
        <v>610</v>
      </c>
      <c r="E12" s="7" t="s">
        <v>652</v>
      </c>
      <c r="F12" s="7" t="s">
        <v>653</v>
      </c>
      <c r="G12" s="7" t="s">
        <v>122</v>
      </c>
      <c r="H12" s="7" t="s">
        <v>624</v>
      </c>
      <c r="I12" s="7"/>
    </row>
    <row r="13" customFormat="false" ht="15" hidden="false" customHeight="false" outlineLevel="0" collapsed="false">
      <c r="A13" s="7" t="n">
        <v>12</v>
      </c>
      <c r="B13" s="7" t="s">
        <v>134</v>
      </c>
      <c r="C13" s="7" t="s">
        <v>645</v>
      </c>
      <c r="D13" s="7" t="s">
        <v>610</v>
      </c>
      <c r="E13" s="7" t="s">
        <v>654</v>
      </c>
      <c r="F13" s="7" t="s">
        <v>655</v>
      </c>
      <c r="G13" s="7" t="s">
        <v>130</v>
      </c>
      <c r="H13" s="7" t="s">
        <v>624</v>
      </c>
      <c r="I13" s="7"/>
    </row>
    <row r="14" customFormat="false" ht="15" hidden="false" customHeight="false" outlineLevel="0" collapsed="false">
      <c r="A14" s="7" t="n">
        <v>13</v>
      </c>
      <c r="B14" s="7" t="s">
        <v>95</v>
      </c>
      <c r="C14" s="7" t="s">
        <v>645</v>
      </c>
      <c r="D14" s="7" t="s">
        <v>610</v>
      </c>
      <c r="E14" s="7" t="s">
        <v>656</v>
      </c>
      <c r="F14" s="7" t="s">
        <v>657</v>
      </c>
      <c r="G14" s="7" t="s">
        <v>658</v>
      </c>
      <c r="H14" s="7" t="s">
        <v>624</v>
      </c>
      <c r="I14" s="7"/>
    </row>
    <row r="15" customFormat="false" ht="15" hidden="false" customHeight="false" outlineLevel="0" collapsed="false">
      <c r="A15" s="7" t="n">
        <v>14</v>
      </c>
      <c r="B15" s="7" t="s">
        <v>71</v>
      </c>
      <c r="C15" s="7" t="s">
        <v>645</v>
      </c>
      <c r="D15" s="7" t="s">
        <v>610</v>
      </c>
      <c r="E15" s="7" t="s">
        <v>659</v>
      </c>
      <c r="F15" s="7" t="s">
        <v>660</v>
      </c>
      <c r="G15" s="7" t="s">
        <v>661</v>
      </c>
      <c r="H15" s="7" t="s">
        <v>614</v>
      </c>
      <c r="I15" s="7" t="s">
        <v>662</v>
      </c>
    </row>
    <row r="16" customFormat="false" ht="15" hidden="false" customHeight="false" outlineLevel="0" collapsed="false">
      <c r="A16" s="7" t="n">
        <v>15</v>
      </c>
      <c r="B16" s="7" t="s">
        <v>80</v>
      </c>
      <c r="C16" s="7" t="s">
        <v>645</v>
      </c>
      <c r="D16" s="7" t="s">
        <v>610</v>
      </c>
      <c r="E16" s="7" t="s">
        <v>77</v>
      </c>
      <c r="F16" s="7" t="s">
        <v>663</v>
      </c>
      <c r="G16" s="7" t="s">
        <v>664</v>
      </c>
      <c r="H16" s="7" t="s">
        <v>614</v>
      </c>
      <c r="I16" s="7" t="s">
        <v>665</v>
      </c>
    </row>
    <row r="17" customFormat="false" ht="15" hidden="false" customHeight="false" outlineLevel="0" collapsed="false">
      <c r="A17" s="7" t="n">
        <v>16</v>
      </c>
      <c r="B17" s="7" t="s">
        <v>220</v>
      </c>
      <c r="C17" s="7" t="s">
        <v>645</v>
      </c>
      <c r="D17" s="7" t="s">
        <v>610</v>
      </c>
      <c r="E17" s="7" t="s">
        <v>666</v>
      </c>
      <c r="F17" s="7" t="s">
        <v>667</v>
      </c>
      <c r="G17" s="7" t="s">
        <v>215</v>
      </c>
      <c r="H17" s="7" t="s">
        <v>614</v>
      </c>
      <c r="I17" s="7" t="s">
        <v>668</v>
      </c>
    </row>
    <row r="18" customFormat="false" ht="15" hidden="false" customHeight="false" outlineLevel="0" collapsed="false">
      <c r="A18" s="7" t="n">
        <v>17</v>
      </c>
      <c r="B18" s="7" t="s">
        <v>352</v>
      </c>
      <c r="C18" s="7" t="s">
        <v>645</v>
      </c>
      <c r="D18" s="7" t="s">
        <v>610</v>
      </c>
      <c r="E18" s="7" t="s">
        <v>669</v>
      </c>
      <c r="F18" s="7" t="s">
        <v>670</v>
      </c>
      <c r="G18" s="7" t="s">
        <v>349</v>
      </c>
      <c r="H18" s="7" t="s">
        <v>624</v>
      </c>
      <c r="I18" s="7"/>
    </row>
    <row r="19" customFormat="false" ht="23.85" hidden="false" customHeight="false" outlineLevel="0" collapsed="false">
      <c r="A19" s="7" t="n">
        <v>18</v>
      </c>
      <c r="B19" s="7" t="s">
        <v>339</v>
      </c>
      <c r="C19" s="7" t="s">
        <v>645</v>
      </c>
      <c r="D19" s="7" t="s">
        <v>610</v>
      </c>
      <c r="E19" s="7" t="s">
        <v>671</v>
      </c>
      <c r="F19" s="7" t="s">
        <v>672</v>
      </c>
      <c r="G19" s="7" t="s">
        <v>335</v>
      </c>
      <c r="H19" s="7" t="s">
        <v>614</v>
      </c>
      <c r="I19" s="7" t="s">
        <v>673</v>
      </c>
    </row>
    <row r="20" customFormat="false" ht="23.85" hidden="false" customHeight="false" outlineLevel="0" collapsed="false">
      <c r="A20" s="7" t="n">
        <v>19</v>
      </c>
      <c r="B20" s="7" t="s">
        <v>274</v>
      </c>
      <c r="C20" s="7" t="s">
        <v>645</v>
      </c>
      <c r="D20" s="7" t="s">
        <v>610</v>
      </c>
      <c r="E20" s="7" t="s">
        <v>272</v>
      </c>
      <c r="F20" s="7" t="s">
        <v>674</v>
      </c>
      <c r="G20" s="7" t="s">
        <v>675</v>
      </c>
      <c r="H20" s="7" t="s">
        <v>614</v>
      </c>
      <c r="I20" s="7"/>
    </row>
    <row r="21" customFormat="false" ht="23.85" hidden="false" customHeight="false" outlineLevel="0" collapsed="false">
      <c r="A21" s="7" t="n">
        <v>20</v>
      </c>
      <c r="B21" s="7" t="s">
        <v>287</v>
      </c>
      <c r="C21" s="7" t="s">
        <v>645</v>
      </c>
      <c r="D21" s="7" t="s">
        <v>610</v>
      </c>
      <c r="E21" s="7" t="s">
        <v>676</v>
      </c>
      <c r="F21" s="7" t="s">
        <v>677</v>
      </c>
      <c r="G21" s="7" t="s">
        <v>283</v>
      </c>
      <c r="H21" s="7" t="s">
        <v>624</v>
      </c>
      <c r="I21" s="7"/>
    </row>
    <row r="22" customFormat="false" ht="15" hidden="false" customHeight="false" outlineLevel="0" collapsed="false">
      <c r="A22" s="7" t="n">
        <v>21</v>
      </c>
      <c r="B22" s="7" t="s">
        <v>315</v>
      </c>
      <c r="C22" s="7" t="s">
        <v>645</v>
      </c>
      <c r="D22" s="7" t="s">
        <v>610</v>
      </c>
      <c r="E22" s="7" t="s">
        <v>678</v>
      </c>
      <c r="F22" s="7" t="s">
        <v>679</v>
      </c>
      <c r="G22" s="7" t="s">
        <v>680</v>
      </c>
      <c r="H22" s="7" t="s">
        <v>624</v>
      </c>
      <c r="I22" s="7"/>
    </row>
    <row r="23" customFormat="false" ht="23.85" hidden="false" customHeight="false" outlineLevel="0" collapsed="false">
      <c r="A23" s="7" t="n">
        <v>22</v>
      </c>
      <c r="B23" s="7" t="s">
        <v>162</v>
      </c>
      <c r="C23" s="7" t="s">
        <v>645</v>
      </c>
      <c r="D23" s="7" t="s">
        <v>620</v>
      </c>
      <c r="E23" s="7" t="s">
        <v>681</v>
      </c>
      <c r="F23" s="7" t="s">
        <v>682</v>
      </c>
      <c r="G23" s="7" t="s">
        <v>683</v>
      </c>
      <c r="H23" s="7" t="s">
        <v>624</v>
      </c>
      <c r="I23" s="7"/>
    </row>
    <row r="24" customFormat="false" ht="15" hidden="false" customHeight="false" outlineLevel="0" collapsed="false">
      <c r="A24" s="7" t="n">
        <v>23</v>
      </c>
      <c r="B24" s="7" t="s">
        <v>308</v>
      </c>
      <c r="C24" s="7" t="s">
        <v>645</v>
      </c>
      <c r="D24" s="7" t="s">
        <v>620</v>
      </c>
      <c r="E24" s="7" t="s">
        <v>684</v>
      </c>
      <c r="F24" s="7" t="s">
        <v>685</v>
      </c>
      <c r="G24" s="7" t="s">
        <v>303</v>
      </c>
      <c r="H24" s="7" t="s">
        <v>624</v>
      </c>
      <c r="I24" s="7" t="s">
        <v>686</v>
      </c>
    </row>
    <row r="25" customFormat="false" ht="15" hidden="false" customHeight="false" outlineLevel="0" collapsed="false">
      <c r="A25" s="7" t="n">
        <v>24</v>
      </c>
      <c r="B25" s="7" t="s">
        <v>198</v>
      </c>
      <c r="C25" s="7" t="s">
        <v>645</v>
      </c>
      <c r="D25" s="7" t="s">
        <v>620</v>
      </c>
      <c r="E25" s="7" t="s">
        <v>687</v>
      </c>
      <c r="F25" s="7" t="s">
        <v>688</v>
      </c>
      <c r="G25" s="7" t="s">
        <v>193</v>
      </c>
      <c r="H25" s="7" t="s">
        <v>624</v>
      </c>
      <c r="I25" s="7"/>
    </row>
    <row r="26" customFormat="false" ht="15" hidden="false" customHeight="false" outlineLevel="0" collapsed="false">
      <c r="A26" s="7" t="n">
        <v>25</v>
      </c>
      <c r="B26" s="7" t="s">
        <v>178</v>
      </c>
      <c r="C26" s="7" t="s">
        <v>645</v>
      </c>
      <c r="D26" s="7" t="s">
        <v>620</v>
      </c>
      <c r="E26" s="7" t="s">
        <v>689</v>
      </c>
      <c r="F26" s="7" t="s">
        <v>690</v>
      </c>
      <c r="G26" s="7" t="s">
        <v>173</v>
      </c>
      <c r="H26" s="7" t="s">
        <v>614</v>
      </c>
      <c r="I26" s="7" t="s">
        <v>691</v>
      </c>
    </row>
    <row r="27" customFormat="false" ht="15" hidden="false" customHeight="false" outlineLevel="0" collapsed="false">
      <c r="A27" s="7" t="n">
        <v>26</v>
      </c>
      <c r="B27" s="7" t="s">
        <v>242</v>
      </c>
      <c r="C27" s="7" t="s">
        <v>692</v>
      </c>
      <c r="D27" s="7" t="s">
        <v>693</v>
      </c>
      <c r="E27" s="7" t="s">
        <v>694</v>
      </c>
      <c r="F27" s="7" t="s">
        <v>695</v>
      </c>
      <c r="G27" s="7" t="s">
        <v>696</v>
      </c>
      <c r="H27" s="7" t="s">
        <v>624</v>
      </c>
      <c r="I27" s="7" t="s">
        <v>697</v>
      </c>
    </row>
    <row r="28" customFormat="false" ht="15" hidden="false" customHeight="false" outlineLevel="0" collapsed="false">
      <c r="A28" s="7" t="n">
        <v>27</v>
      </c>
      <c r="B28" s="7" t="s">
        <v>698</v>
      </c>
      <c r="C28" s="7" t="s">
        <v>699</v>
      </c>
      <c r="D28" s="7" t="s">
        <v>700</v>
      </c>
      <c r="E28" s="7" t="s">
        <v>701</v>
      </c>
      <c r="F28" s="7" t="s">
        <v>702</v>
      </c>
      <c r="G28" s="7" t="s">
        <v>703</v>
      </c>
      <c r="H28" s="7" t="s">
        <v>614</v>
      </c>
      <c r="I28" s="7" t="s">
        <v>704</v>
      </c>
    </row>
    <row r="29" customFormat="false" ht="15" hidden="false" customHeight="false" outlineLevel="0" collapsed="false">
      <c r="A29" s="7" t="n">
        <v>28</v>
      </c>
      <c r="B29" s="7" t="s">
        <v>53</v>
      </c>
      <c r="C29" s="7" t="s">
        <v>699</v>
      </c>
      <c r="D29" s="7" t="s">
        <v>700</v>
      </c>
      <c r="E29" s="7" t="s">
        <v>705</v>
      </c>
      <c r="F29" s="7" t="s">
        <v>706</v>
      </c>
      <c r="G29" s="7" t="s">
        <v>707</v>
      </c>
      <c r="H29" s="7" t="s">
        <v>614</v>
      </c>
      <c r="I29" s="7" t="s">
        <v>708</v>
      </c>
    </row>
    <row r="30" customFormat="false" ht="23.85" hidden="false" customHeight="false" outlineLevel="0" collapsed="false">
      <c r="A30" s="7" t="n">
        <v>29</v>
      </c>
      <c r="B30" s="7" t="s">
        <v>709</v>
      </c>
      <c r="C30" s="7" t="s">
        <v>699</v>
      </c>
      <c r="D30" s="7" t="s">
        <v>700</v>
      </c>
      <c r="E30" s="7" t="s">
        <v>710</v>
      </c>
      <c r="F30" s="7" t="s">
        <v>40</v>
      </c>
      <c r="G30" s="7" t="s">
        <v>711</v>
      </c>
      <c r="H30" s="7" t="s">
        <v>614</v>
      </c>
      <c r="I30" s="7" t="s">
        <v>712</v>
      </c>
    </row>
    <row r="32" customFormat="false" ht="15" hidden="false" customHeight="false" outlineLevel="0" collapsed="false">
      <c r="B32" s="2" t="s">
        <v>713</v>
      </c>
    </row>
  </sheetData>
  <autoFilter ref="A1:I30"/>
  <conditionalFormatting sqref="H2:H30">
    <cfRule type="expression" priority="2" aboveAverage="0" equalAverage="0" bottom="0" percent="0" rank="0" text="" dxfId="8">
      <formula>$H2="Completo"</formula>
    </cfRule>
    <cfRule type="expression" priority="3" aboveAverage="0" equalAverage="0" bottom="0" percent="0" rank="0" text="" dxfId="9">
      <formula>$H2="Parcial"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56"/>
    <col collapsed="false" customWidth="true" hidden="false" outlineLevel="0" max="4" min="4" style="0" width="36"/>
  </cols>
  <sheetData>
    <row r="1" customFormat="false" ht="30" hidden="false" customHeight="true" outlineLevel="0" collapsed="false">
      <c r="A1" s="6" t="s">
        <v>714</v>
      </c>
      <c r="B1" s="6" t="s">
        <v>715</v>
      </c>
      <c r="C1" s="6" t="s">
        <v>716</v>
      </c>
      <c r="D1" s="6" t="s">
        <v>717</v>
      </c>
    </row>
    <row r="2" customFormat="false" ht="15" hidden="false" customHeight="false" outlineLevel="0" collapsed="false">
      <c r="A2" s="7" t="n">
        <v>2</v>
      </c>
      <c r="B2" s="7" t="s">
        <v>718</v>
      </c>
      <c r="C2" s="7" t="s">
        <v>719</v>
      </c>
      <c r="D2" s="7"/>
    </row>
    <row r="3" customFormat="false" ht="15" hidden="false" customHeight="false" outlineLevel="0" collapsed="false">
      <c r="A3" s="7" t="n">
        <v>2</v>
      </c>
      <c r="B3" s="7" t="s">
        <v>720</v>
      </c>
      <c r="C3" s="7" t="s">
        <v>721</v>
      </c>
      <c r="D3" s="7"/>
    </row>
    <row r="4" customFormat="false" ht="15" hidden="false" customHeight="false" outlineLevel="0" collapsed="false">
      <c r="A4" s="7" t="n">
        <v>10</v>
      </c>
      <c r="B4" s="7" t="s">
        <v>722</v>
      </c>
      <c r="C4" s="7" t="s">
        <v>723</v>
      </c>
      <c r="D4" s="7"/>
    </row>
    <row r="5" customFormat="false" ht="23.85" hidden="false" customHeight="false" outlineLevel="0" collapsed="false">
      <c r="A5" s="7" t="n">
        <v>13</v>
      </c>
      <c r="B5" s="7" t="s">
        <v>724</v>
      </c>
      <c r="C5" s="7" t="s">
        <v>725</v>
      </c>
      <c r="D5" s="7"/>
    </row>
    <row r="6" customFormat="false" ht="15" hidden="false" customHeight="false" outlineLevel="0" collapsed="false">
      <c r="A6" s="7" t="n">
        <v>14</v>
      </c>
      <c r="B6" s="7" t="s">
        <v>726</v>
      </c>
      <c r="C6" s="7" t="s">
        <v>727</v>
      </c>
      <c r="D6" s="7"/>
    </row>
    <row r="7" customFormat="false" ht="15" hidden="false" customHeight="false" outlineLevel="0" collapsed="false">
      <c r="A7" s="7" t="n">
        <v>14</v>
      </c>
      <c r="B7" s="7" t="s">
        <v>728</v>
      </c>
      <c r="C7" s="7" t="s">
        <v>729</v>
      </c>
      <c r="D7" s="7"/>
    </row>
    <row r="8" customFormat="false" ht="15" hidden="false" customHeight="false" outlineLevel="0" collapsed="false">
      <c r="A8" s="7" t="n">
        <v>20</v>
      </c>
      <c r="B8" s="7" t="s">
        <v>730</v>
      </c>
      <c r="C8" s="7" t="s">
        <v>731</v>
      </c>
      <c r="D8" s="7"/>
    </row>
    <row r="9" customFormat="false" ht="15" hidden="false" customHeight="false" outlineLevel="0" collapsed="false">
      <c r="A9" s="7" t="n">
        <v>30</v>
      </c>
      <c r="B9" s="7" t="s">
        <v>732</v>
      </c>
      <c r="C9" s="7" t="s">
        <v>733</v>
      </c>
      <c r="D9" s="7"/>
    </row>
    <row r="10" customFormat="false" ht="15" hidden="false" customHeight="false" outlineLevel="0" collapsed="false">
      <c r="A10" s="7" t="n">
        <v>34</v>
      </c>
      <c r="B10" s="7" t="s">
        <v>734</v>
      </c>
      <c r="C10" s="7" t="s">
        <v>735</v>
      </c>
      <c r="D10" s="7"/>
    </row>
    <row r="11" customFormat="false" ht="15" hidden="false" customHeight="false" outlineLevel="0" collapsed="false">
      <c r="A11" s="7" t="n">
        <v>36</v>
      </c>
      <c r="B11" s="7" t="s">
        <v>736</v>
      </c>
      <c r="C11" s="7" t="s">
        <v>737</v>
      </c>
      <c r="D11" s="7" t="s">
        <v>738</v>
      </c>
    </row>
    <row r="12" customFormat="false" ht="15" hidden="false" customHeight="false" outlineLevel="0" collapsed="false">
      <c r="A12" s="7" t="n">
        <v>38</v>
      </c>
      <c r="B12" s="7" t="s">
        <v>739</v>
      </c>
      <c r="C12" s="7" t="s">
        <v>740</v>
      </c>
      <c r="D12" s="7"/>
    </row>
    <row r="13" customFormat="false" ht="35.05" hidden="false" customHeight="false" outlineLevel="0" collapsed="false">
      <c r="A13" s="7" t="n">
        <v>41</v>
      </c>
      <c r="B13" s="7" t="s">
        <v>741</v>
      </c>
      <c r="C13" s="7" t="s">
        <v>742</v>
      </c>
      <c r="D13" s="7" t="s">
        <v>743</v>
      </c>
    </row>
    <row r="14" customFormat="false" ht="23.85" hidden="false" customHeight="false" outlineLevel="0" collapsed="false">
      <c r="A14" s="7" t="n">
        <v>42</v>
      </c>
      <c r="B14" s="7" t="s">
        <v>744</v>
      </c>
      <c r="C14" s="7" t="s">
        <v>745</v>
      </c>
      <c r="D14" s="7"/>
    </row>
    <row r="15" customFormat="false" ht="15" hidden="false" customHeight="false" outlineLevel="0" collapsed="false">
      <c r="A15" s="7" t="n">
        <v>47</v>
      </c>
      <c r="B15" s="7" t="s">
        <v>746</v>
      </c>
      <c r="C15" s="7" t="s">
        <v>747</v>
      </c>
      <c r="D15" s="7"/>
    </row>
    <row r="16" customFormat="false" ht="15" hidden="false" customHeight="false" outlineLevel="0" collapsed="false">
      <c r="A16" s="7" t="n">
        <v>55</v>
      </c>
      <c r="B16" s="7" t="s">
        <v>748</v>
      </c>
      <c r="C16" s="7" t="s">
        <v>749</v>
      </c>
      <c r="D16" s="7"/>
    </row>
    <row r="17" customFormat="false" ht="15" hidden="false" customHeight="false" outlineLevel="0" collapsed="false">
      <c r="A17" s="7" t="n">
        <v>59</v>
      </c>
      <c r="B17" s="7" t="s">
        <v>750</v>
      </c>
      <c r="C17" s="7" t="s">
        <v>751</v>
      </c>
      <c r="D17" s="7" t="s">
        <v>752</v>
      </c>
    </row>
    <row r="18" customFormat="false" ht="15" hidden="false" customHeight="false" outlineLevel="0" collapsed="false">
      <c r="A18" s="7" t="n">
        <v>60</v>
      </c>
      <c r="B18" s="7" t="s">
        <v>753</v>
      </c>
      <c r="C18" s="7" t="s">
        <v>754</v>
      </c>
      <c r="D18" s="7" t="s">
        <v>755</v>
      </c>
    </row>
    <row r="19" customFormat="false" ht="15" hidden="false" customHeight="false" outlineLevel="0" collapsed="false">
      <c r="A19" s="7" t="n">
        <v>61</v>
      </c>
      <c r="B19" s="7" t="s">
        <v>756</v>
      </c>
      <c r="C19" s="7" t="s">
        <v>757</v>
      </c>
      <c r="D19" s="7" t="s">
        <v>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4" min="3" style="0" width="14"/>
    <col collapsed="false" customWidth="true" hidden="false" outlineLevel="0" max="5" min="5" style="0" width="70"/>
  </cols>
  <sheetData>
    <row r="1" customFormat="false" ht="30" hidden="false" customHeight="true" outlineLevel="0" collapsed="false">
      <c r="A1" s="6" t="s">
        <v>601</v>
      </c>
      <c r="B1" s="6" t="s">
        <v>758</v>
      </c>
      <c r="C1" s="6" t="s">
        <v>759</v>
      </c>
      <c r="D1" s="6" t="s">
        <v>760</v>
      </c>
      <c r="E1" s="6" t="s">
        <v>761</v>
      </c>
    </row>
    <row r="2" customFormat="false" ht="23.85" hidden="false" customHeight="false" outlineLevel="0" collapsed="false">
      <c r="A2" s="7" t="n">
        <v>1</v>
      </c>
      <c r="B2" s="7" t="s">
        <v>762</v>
      </c>
      <c r="C2" s="7" t="s">
        <v>763</v>
      </c>
      <c r="D2" s="7" t="s">
        <v>764</v>
      </c>
      <c r="E2" s="7" t="s">
        <v>765</v>
      </c>
    </row>
    <row r="3" customFormat="false" ht="15" hidden="false" customHeight="false" outlineLevel="0" collapsed="false">
      <c r="A3" s="7" t="n">
        <v>2</v>
      </c>
      <c r="B3" s="7" t="s">
        <v>766</v>
      </c>
      <c r="C3" s="7" t="s">
        <v>763</v>
      </c>
      <c r="D3" s="7" t="s">
        <v>764</v>
      </c>
      <c r="E3" s="7" t="s">
        <v>767</v>
      </c>
    </row>
    <row r="4" customFormat="false" ht="23.85" hidden="false" customHeight="false" outlineLevel="0" collapsed="false">
      <c r="A4" s="7" t="n">
        <v>3</v>
      </c>
      <c r="B4" s="7" t="s">
        <v>768</v>
      </c>
      <c r="C4" s="7" t="s">
        <v>763</v>
      </c>
      <c r="D4" s="7" t="s">
        <v>764</v>
      </c>
      <c r="E4" s="7" t="s">
        <v>769</v>
      </c>
    </row>
    <row r="5" customFormat="false" ht="15" hidden="false" customHeight="false" outlineLevel="0" collapsed="false">
      <c r="A5" s="7" t="n">
        <v>4</v>
      </c>
      <c r="B5" s="7" t="s">
        <v>770</v>
      </c>
      <c r="C5" s="7" t="s">
        <v>763</v>
      </c>
      <c r="D5" s="7" t="s">
        <v>764</v>
      </c>
      <c r="E5" s="7" t="s">
        <v>771</v>
      </c>
    </row>
    <row r="6" customFormat="false" ht="15" hidden="false" customHeight="false" outlineLevel="0" collapsed="false">
      <c r="A6" s="7" t="n">
        <v>5</v>
      </c>
      <c r="B6" s="7" t="s">
        <v>772</v>
      </c>
      <c r="C6" s="7" t="s">
        <v>763</v>
      </c>
      <c r="D6" s="7" t="s">
        <v>764</v>
      </c>
      <c r="E6" s="7" t="s">
        <v>773</v>
      </c>
    </row>
    <row r="7" customFormat="false" ht="23.85" hidden="false" customHeight="false" outlineLevel="0" collapsed="false">
      <c r="A7" s="7" t="n">
        <v>6</v>
      </c>
      <c r="B7" s="7" t="s">
        <v>774</v>
      </c>
      <c r="C7" s="7" t="s">
        <v>763</v>
      </c>
      <c r="D7" s="7" t="s">
        <v>764</v>
      </c>
      <c r="E7" s="7" t="s">
        <v>775</v>
      </c>
    </row>
    <row r="8" customFormat="false" ht="15" hidden="false" customHeight="false" outlineLevel="0" collapsed="false">
      <c r="A8" s="7" t="n">
        <v>7</v>
      </c>
      <c r="B8" s="7" t="s">
        <v>776</v>
      </c>
      <c r="C8" s="7" t="s">
        <v>763</v>
      </c>
      <c r="D8" s="7" t="s">
        <v>764</v>
      </c>
      <c r="E8" s="7" t="s">
        <v>777</v>
      </c>
    </row>
    <row r="9" customFormat="false" ht="23.85" hidden="false" customHeight="false" outlineLevel="0" collapsed="false">
      <c r="A9" s="7" t="n">
        <v>8</v>
      </c>
      <c r="B9" s="7" t="s">
        <v>778</v>
      </c>
      <c r="C9" s="7" t="s">
        <v>779</v>
      </c>
      <c r="D9" s="7" t="s">
        <v>764</v>
      </c>
      <c r="E9" s="7" t="s">
        <v>780</v>
      </c>
    </row>
    <row r="10" customFormat="false" ht="15" hidden="false" customHeight="false" outlineLevel="0" collapsed="false">
      <c r="A10" s="7" t="n">
        <v>9</v>
      </c>
      <c r="B10" s="7" t="s">
        <v>781</v>
      </c>
      <c r="C10" s="7" t="s">
        <v>779</v>
      </c>
      <c r="D10" s="7" t="s">
        <v>764</v>
      </c>
      <c r="E10" s="7" t="s">
        <v>782</v>
      </c>
    </row>
    <row r="11" customFormat="false" ht="15" hidden="false" customHeight="false" outlineLevel="0" collapsed="false">
      <c r="A11" s="7" t="n">
        <v>10</v>
      </c>
      <c r="B11" s="7" t="s">
        <v>783</v>
      </c>
      <c r="C11" s="7" t="s">
        <v>784</v>
      </c>
      <c r="D11" s="7" t="s">
        <v>785</v>
      </c>
      <c r="E11" s="7" t="s">
        <v>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2026-10-09T03:34:46Z</dcterms:created>
  <dc:creator>openpyxl</dc:creator>
  <dc:description/>
  <dc:language>en-US</dc:language>
  <cp:lastModifiedBy/>
  <dcterms:modified xsi:type="dcterms:W3CDTF">2026-10-09T03:34:46Z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